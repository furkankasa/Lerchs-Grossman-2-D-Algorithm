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D:\Dedeman Madencilik\31. Eğitimlerim\MMMGD Sunum Dosyası 12072023\MJD Sunum Dosyası\"/>
    </mc:Choice>
  </mc:AlternateContent>
  <xr:revisionPtr revIDLastSave="0" documentId="13_ncr:1_{D5D40693-4598-4295-80A5-406F4A6813F8}" xr6:coauthVersionLast="47" xr6:coauthVersionMax="47" xr10:uidLastSave="{00000000-0000-0000-0000-000000000000}"/>
  <bookViews>
    <workbookView xWindow="-120" yWindow="-120" windowWidth="29040" windowHeight="15720" xr2:uid="{5514CE28-5218-4F8C-8AF1-1C4383AE60BA}"/>
  </bookViews>
  <sheets>
    <sheet name="Sayfa1" sheetId="1" r:id="rId1"/>
    <sheet name="Sayfa2" sheetId="2" r:id="rId2"/>
    <sheet name="ore_body" sheetId="3" r:id="rId3"/>
    <sheet name="random_ore_body" sheetId="4" r:id="rId4"/>
  </sheets>
  <definedNames>
    <definedName name="COG">Sayfa1!$AI$10</definedName>
    <definedName name="Do">Sayfa1!$AI$14</definedName>
    <definedName name="DR">Sayfa1!$AI$9</definedName>
    <definedName name="Dw">Sayfa1!$AI$15</definedName>
    <definedName name="MC">Sayfa1!$AI$2</definedName>
    <definedName name="MR">Sayfa1!$AI$8</definedName>
    <definedName name="PC">Sayfa1!$AI$3</definedName>
    <definedName name="SC">Sayfa1!$AI$4</definedName>
    <definedName name="SP">Sayfa1!$AI$5</definedName>
    <definedName name="Xsize">Sayfa1!$AI$11</definedName>
    <definedName name="Ysize">Sayfa1!$AI$12</definedName>
    <definedName name="Zsize">Sayfa1!$AI$13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48" i="1" l="1"/>
</calcChain>
</file>

<file path=xl/sharedStrings.xml><?xml version="1.0" encoding="utf-8"?>
<sst xmlns="http://schemas.openxmlformats.org/spreadsheetml/2006/main" count="307" uniqueCount="102">
  <si>
    <t>cevher ve pasa</t>
  </si>
  <si>
    <t>bir satır bir sütun ilave</t>
  </si>
  <si>
    <t>8x21</t>
  </si>
  <si>
    <t>9x22</t>
  </si>
  <si>
    <t>cevheri içine alan alan</t>
  </si>
  <si>
    <t>7x9</t>
  </si>
  <si>
    <t>ore_body(7,9)</t>
  </si>
  <si>
    <t>w</t>
  </si>
  <si>
    <t>o</t>
  </si>
  <si>
    <t>ore_body(1,1)=w</t>
  </si>
  <si>
    <t>1,1</t>
  </si>
  <si>
    <t>1,2</t>
  </si>
  <si>
    <t>1,3</t>
  </si>
  <si>
    <t>1,4</t>
  </si>
  <si>
    <t>1,5</t>
  </si>
  <si>
    <t>1,6</t>
  </si>
  <si>
    <t>1,7</t>
  </si>
  <si>
    <t>1,8</t>
  </si>
  <si>
    <t>1,9</t>
  </si>
  <si>
    <t>2,1</t>
  </si>
  <si>
    <t>2,2</t>
  </si>
  <si>
    <t>2,3</t>
  </si>
  <si>
    <t>2,4</t>
  </si>
  <si>
    <t>2,5</t>
  </si>
  <si>
    <t>2,6</t>
  </si>
  <si>
    <t>2,7</t>
  </si>
  <si>
    <t>2,8</t>
  </si>
  <si>
    <t>2,9</t>
  </si>
  <si>
    <t>cevherli bölgenin başlayacağı noktayı seç</t>
  </si>
  <si>
    <t>1,1 indisli blok</t>
  </si>
  <si>
    <t>sağa doğru indisleri ekleyerek git ilk satırı bitir</t>
  </si>
  <si>
    <t>aşağıya doğru indisi bir arttır ve sonra sağa doğru ekleyerek 2nci satırı bitir</t>
  </si>
  <si>
    <t>bu işlemi son satıra kadar tekrarla</t>
  </si>
  <si>
    <t>8x21 lik alanda cevheri konumlandıracağın hücreyi seç</t>
  </si>
  <si>
    <t>cevherli bölgeyi bu hücreden başlatarak 1-2-3-4-5 nolu adımları yapmasını sağla</t>
  </si>
  <si>
    <t>ama önce cevherli bölge içeriside "o" ile işaretli indisleri cevher olarak tanımla</t>
  </si>
  <si>
    <t>8x21 matriste "o" ile tanımlanmamış tüm hücreleri "w" pasa ile işaretle</t>
  </si>
  <si>
    <t>sonra "0" değerli ilave üst satır ve sol sütunu modele ekle</t>
  </si>
  <si>
    <t>i/j</t>
  </si>
  <si>
    <t>j+3</t>
  </si>
  <si>
    <t>j+4</t>
  </si>
  <si>
    <t>j+5</t>
  </si>
  <si>
    <t>j+6</t>
  </si>
  <si>
    <t>j+7</t>
  </si>
  <si>
    <t>j+8</t>
  </si>
  <si>
    <t>j+1</t>
  </si>
  <si>
    <t>j</t>
  </si>
  <si>
    <t>j+2</t>
  </si>
  <si>
    <t>RGB(132, 60, 12)</t>
  </si>
  <si>
    <t>RGB(215,115,33)</t>
  </si>
  <si>
    <t>Cevherli diziyi yerleştirirken ocak tanımlanan alanı cevherli alandan büyük olmak zorundadır</t>
  </si>
  <si>
    <t>en az yukarıdaki ebatlarda olması gerekmektedir.</t>
  </si>
  <si>
    <t>Madencilik Maliyeti</t>
  </si>
  <si>
    <t>$/t</t>
  </si>
  <si>
    <t>Proses Maliyeti</t>
  </si>
  <si>
    <t>Satış Maliyeti</t>
  </si>
  <si>
    <t>Satış Fiyatı</t>
  </si>
  <si>
    <t>Metalürjik Randıman</t>
  </si>
  <si>
    <t>%</t>
  </si>
  <si>
    <t>İndirgeme Oranı</t>
  </si>
  <si>
    <t>Cut-off</t>
  </si>
  <si>
    <t>Blok Boyutu X</t>
  </si>
  <si>
    <t>m</t>
  </si>
  <si>
    <t>Blok Boyutu Y</t>
  </si>
  <si>
    <t>Blok Boyutu Z</t>
  </si>
  <si>
    <t>Yoğunluk Pasa</t>
  </si>
  <si>
    <t>Yoğunluk Cevher</t>
  </si>
  <si>
    <t>Satış Tenörü</t>
  </si>
  <si>
    <t>t/m3</t>
  </si>
  <si>
    <t>MC</t>
  </si>
  <si>
    <t>PC</t>
  </si>
  <si>
    <t>SC</t>
  </si>
  <si>
    <t>SP</t>
  </si>
  <si>
    <t>SG</t>
  </si>
  <si>
    <t>MR</t>
  </si>
  <si>
    <t>COG</t>
  </si>
  <si>
    <t>DR</t>
  </si>
  <si>
    <t>Xsize</t>
  </si>
  <si>
    <t>Ysize</t>
  </si>
  <si>
    <t>Zsize</t>
  </si>
  <si>
    <t>Dore</t>
  </si>
  <si>
    <t>Dwaste</t>
  </si>
  <si>
    <t>BLOK EKONOMİK DEĞERLERİ</t>
  </si>
  <si>
    <t>i,j</t>
  </si>
  <si>
    <t>(i-1 , j-1)</t>
  </si>
  <si>
    <t>(i , j-1)</t>
  </si>
  <si>
    <t>(i+1 , j-1)</t>
  </si>
  <si>
    <t>BLOK EKONOMİK DEĞERLERİ KÜMÜLATİF TOPLAMLAR</t>
  </si>
  <si>
    <t>BLOK DEĞERLERİNİN SOLDAKİ MAKSİMUM KOMŞUSU İLE TOPLANMASI</t>
  </si>
  <si>
    <t>Nihai Sınır Bulma Algoritması</t>
  </si>
  <si>
    <t>İlk satırda en büyük değeri ara</t>
  </si>
  <si>
    <t>Bu değeri başlangıç hücresi olarak seç</t>
  </si>
  <si>
    <t>Solundaki komşu 3 bloktan hangisi büyükse onu seç</t>
  </si>
  <si>
    <t>Bu hücreyi sarı yap</t>
  </si>
  <si>
    <t>3 adımı bu hücreden tekrarla</t>
  </si>
  <si>
    <t>4. adımı tekrarla</t>
  </si>
  <si>
    <t>eğer seçilen hücre ilk satırı bitirdiyse döngüyü bitir</t>
  </si>
  <si>
    <t>Max:</t>
  </si>
  <si>
    <t>B45 hücresini seç</t>
  </si>
  <si>
    <t>OCAK NİHAİ SINIRI</t>
  </si>
  <si>
    <t>OCAK EKONOMİK DEĞERİ</t>
  </si>
  <si>
    <t>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</si>
</sst>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8"/>
      <color theme="1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773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 style="double">
        <color rgb="FF7030A0"/>
      </bottom>
      <diagonal/>
    </border>
    <border>
      <left style="double">
        <color rgb="FF7030A0"/>
      </left>
      <right/>
      <top/>
      <bottom style="thin">
        <color indexed="64"/>
      </bottom>
      <diagonal/>
    </border>
    <border>
      <left style="double">
        <color rgb="FF7030A0"/>
      </left>
      <right/>
      <top/>
      <bottom style="double">
        <color rgb="FF7030A0"/>
      </bottom>
      <diagonal/>
    </border>
    <border>
      <left/>
      <right/>
      <top/>
      <bottom style="double">
        <color rgb="FF7030A0"/>
      </bottom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 style="thin">
        <color indexed="64"/>
      </bottom>
      <diagonal/>
    </border>
    <border>
      <left style="thin">
        <color indexed="64"/>
      </left>
      <right style="double">
        <color rgb="FF7030A0"/>
      </right>
      <top/>
      <bottom style="thin">
        <color indexed="64"/>
      </bottom>
      <diagonal/>
    </border>
    <border>
      <left style="thin">
        <color indexed="64"/>
      </left>
      <right style="double">
        <color rgb="FF7030A0"/>
      </right>
      <top style="double">
        <color rgb="FF7030A0"/>
      </top>
      <bottom style="thin">
        <color indexed="64"/>
      </bottom>
      <diagonal/>
    </border>
    <border>
      <left style="double">
        <color rgb="FF7030A0"/>
      </left>
      <right style="thin">
        <color indexed="64"/>
      </right>
      <top style="double">
        <color rgb="FF7030A0"/>
      </top>
      <bottom style="thin">
        <color indexed="64"/>
      </bottom>
      <diagonal/>
    </border>
    <border>
      <left style="double">
        <color rgb="FF7030A0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rgb="FF7030A0"/>
      </right>
      <top/>
      <bottom style="thin">
        <color indexed="64"/>
      </bottom>
      <diagonal/>
    </border>
    <border>
      <left/>
      <right/>
      <top/>
      <bottom style="thin">
        <color rgb="FFD77321"/>
      </bottom>
      <diagonal/>
    </border>
    <border>
      <left style="dotted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thin">
        <color indexed="64"/>
      </left>
      <right style="thin">
        <color indexed="64"/>
      </right>
      <top style="dotted">
        <color rgb="FF000000"/>
      </top>
      <bottom style="thin">
        <color indexed="64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0" xfId="0" applyFill="1"/>
    <xf numFmtId="0" fontId="0" fillId="0" borderId="5" xfId="0" applyBorder="1"/>
    <xf numFmtId="0" fontId="0" fillId="0" borderId="12" xfId="0" applyBorder="1"/>
    <xf numFmtId="0" fontId="0" fillId="0" borderId="13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18" xfId="0" applyBorder="1"/>
    <xf numFmtId="0" fontId="0" fillId="0" borderId="1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0" borderId="21" xfId="0" applyBorder="1"/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3" xfId="0" applyFill="1" applyBorder="1" applyAlignment="1">
      <alignment horizontal="center" vertical="center"/>
    </xf>
    <xf numFmtId="0" fontId="0" fillId="3" borderId="0" xfId="0" applyFill="1"/>
    <xf numFmtId="0" fontId="0" fillId="4" borderId="13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/>
    </xf>
    <xf numFmtId="2" fontId="0" fillId="0" borderId="0" xfId="0" applyNumberFormat="1"/>
    <xf numFmtId="0" fontId="0" fillId="0" borderId="23" xfId="0" applyBorder="1"/>
    <xf numFmtId="0" fontId="0" fillId="0" borderId="0" xfId="0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2" fontId="0" fillId="0" borderId="0" xfId="0" applyNumberFormat="1" applyProtection="1">
      <protection locked="0"/>
    </xf>
    <xf numFmtId="9" fontId="0" fillId="0" borderId="0" xfId="1" applyFont="1" applyFill="1" applyProtection="1">
      <protection locked="0"/>
    </xf>
    <xf numFmtId="10" fontId="0" fillId="0" borderId="0" xfId="1" applyNumberFormat="1" applyFont="1" applyBorder="1" applyAlignment="1" applyProtection="1">
      <alignment horizontal="right"/>
      <protection locked="0"/>
    </xf>
    <xf numFmtId="9" fontId="0" fillId="0" borderId="0" xfId="1" applyFont="1" applyFill="1" applyAlignment="1" applyProtection="1">
      <protection locked="0"/>
    </xf>
    <xf numFmtId="2" fontId="0" fillId="0" borderId="11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5" fillId="0" borderId="0" xfId="0" applyFont="1"/>
    <xf numFmtId="0" fontId="7" fillId="0" borderId="1" xfId="0" applyFont="1" applyBorder="1" applyAlignment="1">
      <alignment horizontal="center" vertic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5" fillId="0" borderId="0" xfId="0" applyFont="1" applyAlignment="1"/>
    <xf numFmtId="0" fontId="0" fillId="0" borderId="24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7" fillId="0" borderId="5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</cellXfs>
  <cellStyles count="2">
    <cellStyle name="Normal" xfId="0" builtinId="0"/>
    <cellStyle name="Yüzde" xfId="1" builtinId="5"/>
  </cellStyles>
  <dxfs count="0"/>
  <tableStyles count="1" defaultTableStyle="TableStyleMedium2" defaultPivotStyle="PivotStyleLight16">
    <tableStyle name="Invisible" pivot="0" table="0" count="0" xr9:uid="{D3116E2F-8249-4B2F-88B2-D945043FBDA1}"/>
  </tableStyles>
  <colors>
    <mruColors>
      <color rgb="FFD773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380999</xdr:colOff>
      <xdr:row>0</xdr:row>
      <xdr:rowOff>95250</xdr:rowOff>
    </xdr:from>
    <xdr:to>
      <xdr:col>27</xdr:col>
      <xdr:colOff>484799</xdr:colOff>
      <xdr:row>1</xdr:row>
      <xdr:rowOff>85725</xdr:rowOff>
    </xdr:to>
    <xdr:sp macro="[0]!Define_Pit_Area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259F0DF4-2B72-4EC1-92B2-BA80BE7E655B}"/>
            </a:ext>
          </a:extLst>
        </xdr:cNvPr>
        <xdr:cNvSpPr/>
      </xdr:nvSpPr>
      <xdr:spPr>
        <a:xfrm>
          <a:off x="8762999" y="95250"/>
          <a:ext cx="2923200" cy="295275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Ocak Tanımla</a:t>
          </a:r>
        </a:p>
      </xdr:txBody>
    </xdr:sp>
    <xdr:clientData fPrintsWithSheet="0"/>
  </xdr:twoCellAnchor>
  <xdr:twoCellAnchor>
    <xdr:from>
      <xdr:col>28</xdr:col>
      <xdr:colOff>9525</xdr:colOff>
      <xdr:row>2</xdr:row>
      <xdr:rowOff>55889</xdr:rowOff>
    </xdr:from>
    <xdr:to>
      <xdr:col>30</xdr:col>
      <xdr:colOff>313125</xdr:colOff>
      <xdr:row>3</xdr:row>
      <xdr:rowOff>46364</xdr:rowOff>
    </xdr:to>
    <xdr:sp macro="[0]!select_clean" textlink="">
      <xdr:nvSpPr>
        <xdr:cNvPr id="4" name="Dikdörtgen: Köşeleri Yuvarlatılmış 3">
          <a:extLst>
            <a:ext uri="{FF2B5EF4-FFF2-40B4-BE49-F238E27FC236}">
              <a16:creationId xmlns:a16="http://schemas.microsoft.com/office/drawing/2014/main" id="{5DAF176E-78EA-4AF7-9BDA-934A9E62D06E}"/>
            </a:ext>
          </a:extLst>
        </xdr:cNvPr>
        <xdr:cNvSpPr/>
      </xdr:nvSpPr>
      <xdr:spPr>
        <a:xfrm>
          <a:off x="11420475" y="665489"/>
          <a:ext cx="1522800" cy="295275"/>
        </a:xfrm>
        <a:prstGeom prst="roundRect">
          <a:avLst/>
        </a:prstGeom>
        <a:ln>
          <a:solidFill>
            <a:schemeClr val="accent2">
              <a:lumMod val="50000"/>
            </a:schemeClr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Seç ve Temizle</a:t>
          </a:r>
        </a:p>
      </xdr:txBody>
    </xdr:sp>
    <xdr:clientData fPrintsWithSheet="0"/>
  </xdr:twoCellAnchor>
  <xdr:twoCellAnchor>
    <xdr:from>
      <xdr:col>28</xdr:col>
      <xdr:colOff>9525</xdr:colOff>
      <xdr:row>3</xdr:row>
      <xdr:rowOff>133350</xdr:rowOff>
    </xdr:from>
    <xdr:to>
      <xdr:col>30</xdr:col>
      <xdr:colOff>313125</xdr:colOff>
      <xdr:row>5</xdr:row>
      <xdr:rowOff>7003</xdr:rowOff>
    </xdr:to>
    <xdr:sp macro="[0]!Default_Cell_Size" textlink="">
      <xdr:nvSpPr>
        <xdr:cNvPr id="5" name="Dikdörtgen: Köşeleri Yuvarlatılmış 4">
          <a:extLst>
            <a:ext uri="{FF2B5EF4-FFF2-40B4-BE49-F238E27FC236}">
              <a16:creationId xmlns:a16="http://schemas.microsoft.com/office/drawing/2014/main" id="{1CD3796B-6099-4731-BB55-C28C083FFC98}"/>
            </a:ext>
          </a:extLst>
        </xdr:cNvPr>
        <xdr:cNvSpPr>
          <a:spLocks/>
        </xdr:cNvSpPr>
      </xdr:nvSpPr>
      <xdr:spPr>
        <a:xfrm>
          <a:off x="11420475" y="1047750"/>
          <a:ext cx="1522800" cy="483253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Hücreleri Orijinal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Boyutuna Getir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twoCellAnchor>
    <xdr:from>
      <xdr:col>22</xdr:col>
      <xdr:colOff>485775</xdr:colOff>
      <xdr:row>3</xdr:row>
      <xdr:rowOff>133350</xdr:rowOff>
    </xdr:from>
    <xdr:to>
      <xdr:col>25</xdr:col>
      <xdr:colOff>114975</xdr:colOff>
      <xdr:row>5</xdr:row>
      <xdr:rowOff>7003</xdr:rowOff>
    </xdr:to>
    <xdr:sp macro="[0]!Place_Ore_Body" textlink="">
      <xdr:nvSpPr>
        <xdr:cNvPr id="7" name="Dikdörtgen: Köşeleri Yuvarlatılmış 6">
          <a:extLst>
            <a:ext uri="{FF2B5EF4-FFF2-40B4-BE49-F238E27FC236}">
              <a16:creationId xmlns:a16="http://schemas.microsoft.com/office/drawing/2014/main" id="{9B3333ED-AD9D-46E2-BFAC-B85B7E608547}"/>
            </a:ext>
          </a:extLst>
        </xdr:cNvPr>
        <xdr:cNvSpPr>
          <a:spLocks/>
        </xdr:cNvSpPr>
      </xdr:nvSpPr>
      <xdr:spPr>
        <a:xfrm>
          <a:off x="8239125" y="1047750"/>
          <a:ext cx="1458000" cy="483253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Cevherli Alanı Yerleştir</a:t>
          </a:r>
        </a:p>
      </xdr:txBody>
    </xdr:sp>
    <xdr:clientData fPrintsWithSheet="0"/>
  </xdr:twoCellAnchor>
  <xdr:twoCellAnchor>
    <xdr:from>
      <xdr:col>22</xdr:col>
      <xdr:colOff>485775</xdr:colOff>
      <xdr:row>1</xdr:row>
      <xdr:rowOff>182235</xdr:rowOff>
    </xdr:from>
    <xdr:to>
      <xdr:col>25</xdr:col>
      <xdr:colOff>114975</xdr:colOff>
      <xdr:row>3</xdr:row>
      <xdr:rowOff>55035</xdr:rowOff>
    </xdr:to>
    <xdr:sp macro="[0]!define_ore_body" textlink="">
      <xdr:nvSpPr>
        <xdr:cNvPr id="9" name="Dikdörtgen: Köşeleri Yuvarlatılmış 8">
          <a:extLst>
            <a:ext uri="{FF2B5EF4-FFF2-40B4-BE49-F238E27FC236}">
              <a16:creationId xmlns:a16="http://schemas.microsoft.com/office/drawing/2014/main" id="{75623C70-6C2E-49FF-8D4A-EF485DBD0AE2}"/>
            </a:ext>
          </a:extLst>
        </xdr:cNvPr>
        <xdr:cNvSpPr/>
      </xdr:nvSpPr>
      <xdr:spPr>
        <a:xfrm>
          <a:off x="8239125" y="487035"/>
          <a:ext cx="1458000" cy="4824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Cevher Tanımla</a:t>
          </a:r>
        </a:p>
      </xdr:txBody>
    </xdr:sp>
    <xdr:clientData fPrintsWithSheet="0"/>
  </xdr:twoCellAnchor>
  <xdr:twoCellAnchor>
    <xdr:from>
      <xdr:col>25</xdr:col>
      <xdr:colOff>228600</xdr:colOff>
      <xdr:row>1</xdr:row>
      <xdr:rowOff>182235</xdr:rowOff>
    </xdr:from>
    <xdr:to>
      <xdr:col>27</xdr:col>
      <xdr:colOff>467400</xdr:colOff>
      <xdr:row>3</xdr:row>
      <xdr:rowOff>55888</xdr:rowOff>
    </xdr:to>
    <xdr:sp macro="[0]!Place_Random_Ore_Body" textlink="">
      <xdr:nvSpPr>
        <xdr:cNvPr id="10" name="Dikdörtgen: Köşeleri Yuvarlatılmış 9">
          <a:extLst>
            <a:ext uri="{FF2B5EF4-FFF2-40B4-BE49-F238E27FC236}">
              <a16:creationId xmlns:a16="http://schemas.microsoft.com/office/drawing/2014/main" id="{33AF7236-B5F0-45AA-A06C-6035962D93C2}"/>
            </a:ext>
          </a:extLst>
        </xdr:cNvPr>
        <xdr:cNvSpPr/>
      </xdr:nvSpPr>
      <xdr:spPr>
        <a:xfrm>
          <a:off x="9810750" y="487035"/>
          <a:ext cx="1458000" cy="483253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Rasgele Cevher Tanımla</a:t>
          </a:r>
        </a:p>
      </xdr:txBody>
    </xdr:sp>
    <xdr:clientData fPrintsWithSheet="0"/>
  </xdr:twoCellAnchor>
  <xdr:twoCellAnchor>
    <xdr:from>
      <xdr:col>25</xdr:col>
      <xdr:colOff>238125</xdr:colOff>
      <xdr:row>3</xdr:row>
      <xdr:rowOff>133350</xdr:rowOff>
    </xdr:from>
    <xdr:to>
      <xdr:col>27</xdr:col>
      <xdr:colOff>476925</xdr:colOff>
      <xdr:row>5</xdr:row>
      <xdr:rowOff>7003</xdr:rowOff>
    </xdr:to>
    <xdr:sp macro="[0]!rnd_ore_body_placement" textlink="">
      <xdr:nvSpPr>
        <xdr:cNvPr id="11" name="Dikdörtgen: Köşeleri Yuvarlatılmış 10">
          <a:extLst>
            <a:ext uri="{FF2B5EF4-FFF2-40B4-BE49-F238E27FC236}">
              <a16:creationId xmlns:a16="http://schemas.microsoft.com/office/drawing/2014/main" id="{7443537E-EB43-417D-9C88-9B99ED5C0875}"/>
            </a:ext>
          </a:extLst>
        </xdr:cNvPr>
        <xdr:cNvSpPr>
          <a:spLocks/>
        </xdr:cNvSpPr>
      </xdr:nvSpPr>
      <xdr:spPr>
        <a:xfrm>
          <a:off x="9820275" y="1047750"/>
          <a:ext cx="1458000" cy="483253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noAutofit/>
        </a:bodyPr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Rasgele Cevheri Yerleştir</a:t>
          </a:r>
        </a:p>
      </xdr:txBody>
    </xdr:sp>
    <xdr:clientData fPrintsWithSheet="0"/>
  </xdr:twoCellAnchor>
  <xdr:twoCellAnchor>
    <xdr:from>
      <xdr:col>23</xdr:col>
      <xdr:colOff>0</xdr:colOff>
      <xdr:row>5</xdr:row>
      <xdr:rowOff>104775</xdr:rowOff>
    </xdr:from>
    <xdr:to>
      <xdr:col>27</xdr:col>
      <xdr:colOff>484800</xdr:colOff>
      <xdr:row>6</xdr:row>
      <xdr:rowOff>95250</xdr:rowOff>
    </xdr:to>
    <xdr:sp macro="[0]!LG_Step1" textlink="">
      <xdr:nvSpPr>
        <xdr:cNvPr id="12" name="Dikdörtgen: Köşeleri Yuvarlatılmış 11">
          <a:extLst>
            <a:ext uri="{FF2B5EF4-FFF2-40B4-BE49-F238E27FC236}">
              <a16:creationId xmlns:a16="http://schemas.microsoft.com/office/drawing/2014/main" id="{35B878BA-854F-4B74-8EE6-24E06396A40F}"/>
            </a:ext>
          </a:extLst>
        </xdr:cNvPr>
        <xdr:cNvSpPr/>
      </xdr:nvSpPr>
      <xdr:spPr>
        <a:xfrm>
          <a:off x="8763000" y="1628775"/>
          <a:ext cx="2923200" cy="295275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Adım-1: Dizi Oluştur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twoCellAnchor>
    <xdr:from>
      <xdr:col>23</xdr:col>
      <xdr:colOff>0</xdr:colOff>
      <xdr:row>6</xdr:row>
      <xdr:rowOff>161925</xdr:rowOff>
    </xdr:from>
    <xdr:to>
      <xdr:col>27</xdr:col>
      <xdr:colOff>484800</xdr:colOff>
      <xdr:row>7</xdr:row>
      <xdr:rowOff>152400</xdr:rowOff>
    </xdr:to>
    <xdr:sp macro="[0]!LG_Step2" textlink="">
      <xdr:nvSpPr>
        <xdr:cNvPr id="13" name="Dikdörtgen: Köşeleri Yuvarlatılmış 12">
          <a:extLst>
            <a:ext uri="{FF2B5EF4-FFF2-40B4-BE49-F238E27FC236}">
              <a16:creationId xmlns:a16="http://schemas.microsoft.com/office/drawing/2014/main" id="{AE7449AF-0C62-47DD-89F2-3B473F763F15}"/>
            </a:ext>
          </a:extLst>
        </xdr:cNvPr>
        <xdr:cNvSpPr/>
      </xdr:nvSpPr>
      <xdr:spPr>
        <a:xfrm>
          <a:off x="8763000" y="1990725"/>
          <a:ext cx="2685075" cy="295275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Adım-2: Blok Ekonomik Değer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twoCellAnchor>
    <xdr:from>
      <xdr:col>28</xdr:col>
      <xdr:colOff>9525</xdr:colOff>
      <xdr:row>6</xdr:row>
      <xdr:rowOff>152400</xdr:rowOff>
    </xdr:from>
    <xdr:to>
      <xdr:col>30</xdr:col>
      <xdr:colOff>314325</xdr:colOff>
      <xdr:row>7</xdr:row>
      <xdr:rowOff>142875</xdr:rowOff>
    </xdr:to>
    <xdr:sp macro="[0]!Clean_LG_Step2" textlink="">
      <xdr:nvSpPr>
        <xdr:cNvPr id="16" name="Dikdörtgen: Köşeleri Yuvarlatılmış 15">
          <a:extLst>
            <a:ext uri="{FF2B5EF4-FFF2-40B4-BE49-F238E27FC236}">
              <a16:creationId xmlns:a16="http://schemas.microsoft.com/office/drawing/2014/main" id="{D980A06B-C063-4F66-AD1A-7FE074CA8305}"/>
            </a:ext>
          </a:extLst>
        </xdr:cNvPr>
        <xdr:cNvSpPr/>
      </xdr:nvSpPr>
      <xdr:spPr>
        <a:xfrm>
          <a:off x="11420475" y="1981200"/>
          <a:ext cx="1524000" cy="295275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Adım-2: Temizle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twoCellAnchor>
    <xdr:from>
      <xdr:col>23</xdr:col>
      <xdr:colOff>0</xdr:colOff>
      <xdr:row>7</xdr:row>
      <xdr:rowOff>228600</xdr:rowOff>
    </xdr:from>
    <xdr:to>
      <xdr:col>27</xdr:col>
      <xdr:colOff>484800</xdr:colOff>
      <xdr:row>8</xdr:row>
      <xdr:rowOff>219000</xdr:rowOff>
    </xdr:to>
    <xdr:sp macro="[0]!LG_Step3" textlink="">
      <xdr:nvSpPr>
        <xdr:cNvPr id="17" name="Dikdörtgen: Köşeleri Yuvarlatılmış 16">
          <a:extLst>
            <a:ext uri="{FF2B5EF4-FFF2-40B4-BE49-F238E27FC236}">
              <a16:creationId xmlns:a16="http://schemas.microsoft.com/office/drawing/2014/main" id="{C23F650E-65E8-46ED-B64F-FB43A6B9EE7B}"/>
            </a:ext>
          </a:extLst>
        </xdr:cNvPr>
        <xdr:cNvSpPr/>
      </xdr:nvSpPr>
      <xdr:spPr>
        <a:xfrm>
          <a:off x="8763000" y="2362200"/>
          <a:ext cx="2685075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Adım-3: BED Kümülatif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oneCellAnchor>
    <xdr:from>
      <xdr:col>28</xdr:col>
      <xdr:colOff>19050</xdr:colOff>
      <xdr:row>7</xdr:row>
      <xdr:rowOff>228638</xdr:rowOff>
    </xdr:from>
    <xdr:ext cx="1524000" cy="295200"/>
    <xdr:sp macro="[0]!Clean_LG_Step3" textlink="">
      <xdr:nvSpPr>
        <xdr:cNvPr id="14" name="Dikdörtgen: Köşeleri Yuvarlatılmış 13">
          <a:extLst>
            <a:ext uri="{FF2B5EF4-FFF2-40B4-BE49-F238E27FC236}">
              <a16:creationId xmlns:a16="http://schemas.microsoft.com/office/drawing/2014/main" id="{BC470522-A932-49B9-9494-D31EE200CD6C}"/>
            </a:ext>
          </a:extLst>
        </xdr:cNvPr>
        <xdr:cNvSpPr/>
      </xdr:nvSpPr>
      <xdr:spPr>
        <a:xfrm>
          <a:off x="11591925" y="2362238"/>
          <a:ext cx="1524000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Adım-3: Temizle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oneCellAnchor>
  <xdr:oneCellAnchor>
    <xdr:from>
      <xdr:col>32</xdr:col>
      <xdr:colOff>38099</xdr:colOff>
      <xdr:row>14</xdr:row>
      <xdr:rowOff>173984</xdr:rowOff>
    </xdr:from>
    <xdr:ext cx="2867025" cy="292704"/>
    <xdr:sp macro="[0]!PreDefined_DataSet" textlink="">
      <xdr:nvSpPr>
        <xdr:cNvPr id="15" name="Dikdörtgen: Köşeleri Yuvarlatılmış 14">
          <a:extLst>
            <a:ext uri="{FF2B5EF4-FFF2-40B4-BE49-F238E27FC236}">
              <a16:creationId xmlns:a16="http://schemas.microsoft.com/office/drawing/2014/main" id="{897B3555-EBA8-46D3-AFA0-DF1FF5B54DD2}"/>
            </a:ext>
          </a:extLst>
        </xdr:cNvPr>
        <xdr:cNvSpPr/>
      </xdr:nvSpPr>
      <xdr:spPr>
        <a:xfrm>
          <a:off x="14287499" y="4441184"/>
          <a:ext cx="2867025" cy="292704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b">
          <a:spAutoFit/>
        </a:bodyPr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Varsayılan Hesap Parametrelerini Çağır</a:t>
          </a:r>
        </a:p>
      </xdr:txBody>
    </xdr:sp>
    <xdr:clientData fPrintsWithSheet="0"/>
  </xdr:oneCellAnchor>
  <xdr:twoCellAnchor>
    <xdr:from>
      <xdr:col>23</xdr:col>
      <xdr:colOff>9525</xdr:colOff>
      <xdr:row>9</xdr:row>
      <xdr:rowOff>0</xdr:rowOff>
    </xdr:from>
    <xdr:to>
      <xdr:col>27</xdr:col>
      <xdr:colOff>494325</xdr:colOff>
      <xdr:row>9</xdr:row>
      <xdr:rowOff>295200</xdr:rowOff>
    </xdr:to>
    <xdr:sp macro="[0]!LG_Step4" textlink="">
      <xdr:nvSpPr>
        <xdr:cNvPr id="18" name="Dikdörtgen: Köşeleri Yuvarlatılmış 17">
          <a:extLst>
            <a:ext uri="{FF2B5EF4-FFF2-40B4-BE49-F238E27FC236}">
              <a16:creationId xmlns:a16="http://schemas.microsoft.com/office/drawing/2014/main" id="{B52AC071-D4BD-4763-9E6A-34899E229DF4}"/>
            </a:ext>
          </a:extLst>
        </xdr:cNvPr>
        <xdr:cNvSpPr/>
      </xdr:nvSpPr>
      <xdr:spPr>
        <a:xfrm>
          <a:off x="8772525" y="2743200"/>
          <a:ext cx="2685075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Adım-4: Sol Komşulardan Seç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oneCellAnchor>
    <xdr:from>
      <xdr:col>28</xdr:col>
      <xdr:colOff>28575</xdr:colOff>
      <xdr:row>9</xdr:row>
      <xdr:rowOff>0</xdr:rowOff>
    </xdr:from>
    <xdr:ext cx="1524000" cy="295200"/>
    <xdr:sp macro="[0]!Clean_LG_Step4" textlink="">
      <xdr:nvSpPr>
        <xdr:cNvPr id="19" name="Dikdörtgen: Köşeleri Yuvarlatılmış 18">
          <a:extLst>
            <a:ext uri="{FF2B5EF4-FFF2-40B4-BE49-F238E27FC236}">
              <a16:creationId xmlns:a16="http://schemas.microsoft.com/office/drawing/2014/main" id="{C78E15DC-E9F1-4F6C-AFDD-DF070662723B}"/>
            </a:ext>
          </a:extLst>
        </xdr:cNvPr>
        <xdr:cNvSpPr/>
      </xdr:nvSpPr>
      <xdr:spPr>
        <a:xfrm>
          <a:off x="11601450" y="2743200"/>
          <a:ext cx="1524000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Adım-4: Temizle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oneCellAnchor>
  <xdr:twoCellAnchor>
    <xdr:from>
      <xdr:col>24</xdr:col>
      <xdr:colOff>95250</xdr:colOff>
      <xdr:row>32</xdr:row>
      <xdr:rowOff>28575</xdr:rowOff>
    </xdr:from>
    <xdr:to>
      <xdr:col>28</xdr:col>
      <xdr:colOff>580050</xdr:colOff>
      <xdr:row>33</xdr:row>
      <xdr:rowOff>18975</xdr:rowOff>
    </xdr:to>
    <xdr:sp macro="[0]!Find_Max_Value" textlink="">
      <xdr:nvSpPr>
        <xdr:cNvPr id="20" name="Dikdörtgen: Köşeleri Yuvarlatılmış 19">
          <a:extLst>
            <a:ext uri="{FF2B5EF4-FFF2-40B4-BE49-F238E27FC236}">
              <a16:creationId xmlns:a16="http://schemas.microsoft.com/office/drawing/2014/main" id="{FD918360-B749-4144-9B0F-8C61392088C8}"/>
            </a:ext>
          </a:extLst>
        </xdr:cNvPr>
        <xdr:cNvSpPr/>
      </xdr:nvSpPr>
      <xdr:spPr>
        <a:xfrm>
          <a:off x="9467850" y="9667875"/>
          <a:ext cx="2923200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 Adım-5: Üst Satır Maximum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Bul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twoCellAnchor>
    <xdr:from>
      <xdr:col>24</xdr:col>
      <xdr:colOff>95250</xdr:colOff>
      <xdr:row>33</xdr:row>
      <xdr:rowOff>66675</xdr:rowOff>
    </xdr:from>
    <xdr:to>
      <xdr:col>28</xdr:col>
      <xdr:colOff>580050</xdr:colOff>
      <xdr:row>34</xdr:row>
      <xdr:rowOff>57075</xdr:rowOff>
    </xdr:to>
    <xdr:sp macro="[0]!Find_Ultimate_Pit" textlink="">
      <xdr:nvSpPr>
        <xdr:cNvPr id="21" name="Dikdörtgen: Köşeleri Yuvarlatılmış 20">
          <a:extLst>
            <a:ext uri="{FF2B5EF4-FFF2-40B4-BE49-F238E27FC236}">
              <a16:creationId xmlns:a16="http://schemas.microsoft.com/office/drawing/2014/main" id="{E61CC47C-CE33-4164-B77B-F455FCF6F048}"/>
            </a:ext>
          </a:extLst>
        </xdr:cNvPr>
        <xdr:cNvSpPr/>
      </xdr:nvSpPr>
      <xdr:spPr>
        <a:xfrm>
          <a:off x="9467850" y="10010775"/>
          <a:ext cx="2923200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L&amp;G Adım-6: Ocak Nihai Sınırını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Belirle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twoCellAnchor>
    <xdr:from>
      <xdr:col>25</xdr:col>
      <xdr:colOff>76200</xdr:colOff>
      <xdr:row>34</xdr:row>
      <xdr:rowOff>123825</xdr:rowOff>
    </xdr:from>
    <xdr:to>
      <xdr:col>28</xdr:col>
      <xdr:colOff>561975</xdr:colOff>
      <xdr:row>35</xdr:row>
      <xdr:rowOff>114225</xdr:rowOff>
    </xdr:to>
    <xdr:sp macro="[0]!Clean_Ultimate_Pit" textlink="">
      <xdr:nvSpPr>
        <xdr:cNvPr id="22" name="Dikdörtgen: Köşeleri Yuvarlatılmış 21">
          <a:extLst>
            <a:ext uri="{FF2B5EF4-FFF2-40B4-BE49-F238E27FC236}">
              <a16:creationId xmlns:a16="http://schemas.microsoft.com/office/drawing/2014/main" id="{9985E13D-E561-4915-B87E-FD785F4F27BE}"/>
            </a:ext>
          </a:extLst>
        </xdr:cNvPr>
        <xdr:cNvSpPr/>
      </xdr:nvSpPr>
      <xdr:spPr>
        <a:xfrm>
          <a:off x="10058400" y="10372725"/>
          <a:ext cx="2314575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Temizle</a:t>
          </a:r>
        </a:p>
      </xdr:txBody>
    </xdr:sp>
    <xdr:clientData fPrintsWithSheet="0"/>
  </xdr:twoCellAnchor>
  <xdr:twoCellAnchor>
    <xdr:from>
      <xdr:col>24</xdr:col>
      <xdr:colOff>76200</xdr:colOff>
      <xdr:row>43</xdr:row>
      <xdr:rowOff>9525</xdr:rowOff>
    </xdr:from>
    <xdr:to>
      <xdr:col>28</xdr:col>
      <xdr:colOff>561000</xdr:colOff>
      <xdr:row>43</xdr:row>
      <xdr:rowOff>304725</xdr:rowOff>
    </xdr:to>
    <xdr:sp macro="[0]!Place_Economic_Values_FinalPit" textlink="">
      <xdr:nvSpPr>
        <xdr:cNvPr id="23" name="Dikdörtgen: Köşeleri Yuvarlatılmış 22">
          <a:extLst>
            <a:ext uri="{FF2B5EF4-FFF2-40B4-BE49-F238E27FC236}">
              <a16:creationId xmlns:a16="http://schemas.microsoft.com/office/drawing/2014/main" id="{987359A4-D957-4363-98F1-74DDFF99ADAB}"/>
            </a:ext>
          </a:extLst>
        </xdr:cNvPr>
        <xdr:cNvSpPr/>
      </xdr:nvSpPr>
      <xdr:spPr>
        <a:xfrm>
          <a:off x="9220200" y="12973050"/>
          <a:ext cx="2923200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Şekil</a:t>
          </a:r>
          <a:r>
            <a:rPr lang="tr-TR" sz="1100" baseline="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 Ver</a:t>
          </a:r>
          <a:endParaRPr lang="tr-TR" sz="1100">
            <a:solidFill>
              <a:schemeClr val="tx2">
                <a:lumMod val="75000"/>
              </a:schemeClr>
            </a:solidFill>
            <a:latin typeface="+mn-lt"/>
            <a:ea typeface="Lato" panose="020F0502020204030203" pitchFamily="34" charset="0"/>
            <a:cs typeface="Lato" panose="020F0502020204030203" pitchFamily="34" charset="0"/>
          </a:endParaRPr>
        </a:p>
      </xdr:txBody>
    </xdr:sp>
    <xdr:clientData fPrintsWithSheet="0"/>
  </xdr:twoCellAnchor>
  <xdr:twoCellAnchor>
    <xdr:from>
      <xdr:col>24</xdr:col>
      <xdr:colOff>85725</xdr:colOff>
      <xdr:row>44</xdr:row>
      <xdr:rowOff>85725</xdr:rowOff>
    </xdr:from>
    <xdr:to>
      <xdr:col>28</xdr:col>
      <xdr:colOff>570525</xdr:colOff>
      <xdr:row>45</xdr:row>
      <xdr:rowOff>76125</xdr:rowOff>
    </xdr:to>
    <xdr:sp macro="[0]!Call_Economic_Values" textlink="">
      <xdr:nvSpPr>
        <xdr:cNvPr id="26" name="Dikdörtgen: Köşeleri Yuvarlatılmış 25">
          <a:extLst>
            <a:ext uri="{FF2B5EF4-FFF2-40B4-BE49-F238E27FC236}">
              <a16:creationId xmlns:a16="http://schemas.microsoft.com/office/drawing/2014/main" id="{5E865F30-B3FF-4BE4-9023-FC197DA5A000}"/>
            </a:ext>
          </a:extLst>
        </xdr:cNvPr>
        <xdr:cNvSpPr/>
      </xdr:nvSpPr>
      <xdr:spPr>
        <a:xfrm>
          <a:off x="9229725" y="13354050"/>
          <a:ext cx="2923200" cy="295200"/>
        </a:xfrm>
        <a:prstGeom prst="roundRect">
          <a:avLst/>
        </a:prstGeom>
        <a:solidFill>
          <a:sysClr val="window" lastClr="FFFFFF"/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>
              <a:solidFill>
                <a:schemeClr val="tx2">
                  <a:lumMod val="75000"/>
                </a:schemeClr>
              </a:solidFill>
              <a:latin typeface="+mn-lt"/>
              <a:ea typeface="Lato" panose="020F0502020204030203" pitchFamily="34" charset="0"/>
              <a:cs typeface="Lato" panose="020F0502020204030203" pitchFamily="34" charset="0"/>
            </a:rPr>
            <a:t>Ekonomik Değer Getir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</xdr:colOff>
      <xdr:row>21</xdr:row>
      <xdr:rowOff>0</xdr:rowOff>
    </xdr:from>
    <xdr:to>
      <xdr:col>26</xdr:col>
      <xdr:colOff>190500</xdr:colOff>
      <xdr:row>21</xdr:row>
      <xdr:rowOff>0</xdr:rowOff>
    </xdr:to>
    <xdr:cxnSp macro="">
      <xdr:nvCxnSpPr>
        <xdr:cNvPr id="3" name="Düz Ok Bağlayıcısı 2">
          <a:extLst>
            <a:ext uri="{FF2B5EF4-FFF2-40B4-BE49-F238E27FC236}">
              <a16:creationId xmlns:a16="http://schemas.microsoft.com/office/drawing/2014/main" id="{DC5E7069-4B22-426D-BC7C-671BB8FF0675}"/>
            </a:ext>
          </a:extLst>
        </xdr:cNvPr>
        <xdr:cNvCxnSpPr/>
      </xdr:nvCxnSpPr>
      <xdr:spPr>
        <a:xfrm>
          <a:off x="7762875" y="4143375"/>
          <a:ext cx="1495425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22</xdr:row>
      <xdr:rowOff>19050</xdr:rowOff>
    </xdr:from>
    <xdr:to>
      <xdr:col>19</xdr:col>
      <xdr:colOff>9525</xdr:colOff>
      <xdr:row>27</xdr:row>
      <xdr:rowOff>57150</xdr:rowOff>
    </xdr:to>
    <xdr:cxnSp macro="">
      <xdr:nvCxnSpPr>
        <xdr:cNvPr id="4" name="Düz Ok Bağlayıcısı 3">
          <a:extLst>
            <a:ext uri="{FF2B5EF4-FFF2-40B4-BE49-F238E27FC236}">
              <a16:creationId xmlns:a16="http://schemas.microsoft.com/office/drawing/2014/main" id="{3E625A75-6292-47FD-8501-06733DC11B8A}"/>
            </a:ext>
          </a:extLst>
        </xdr:cNvPr>
        <xdr:cNvCxnSpPr/>
      </xdr:nvCxnSpPr>
      <xdr:spPr>
        <a:xfrm>
          <a:off x="7534275" y="4371975"/>
          <a:ext cx="9525" cy="10858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19050</xdr:rowOff>
    </xdr:from>
    <xdr:to>
      <xdr:col>0</xdr:col>
      <xdr:colOff>9525</xdr:colOff>
      <xdr:row>6</xdr:row>
      <xdr:rowOff>57150</xdr:rowOff>
    </xdr:to>
    <xdr:cxnSp macro="">
      <xdr:nvCxnSpPr>
        <xdr:cNvPr id="2" name="Düz Ok Bağlayıcısı 1">
          <a:extLst>
            <a:ext uri="{FF2B5EF4-FFF2-40B4-BE49-F238E27FC236}">
              <a16:creationId xmlns:a16="http://schemas.microsoft.com/office/drawing/2014/main" id="{905D4954-A6DC-46EF-9902-18C2F3036DE0}"/>
            </a:ext>
          </a:extLst>
        </xdr:cNvPr>
        <xdr:cNvCxnSpPr/>
      </xdr:nvCxnSpPr>
      <xdr:spPr>
        <a:xfrm>
          <a:off x="7534275" y="4371975"/>
          <a:ext cx="9525" cy="108585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chemeClr val="accent2">
              <a:lumMod val="50000"/>
            </a:schemeClr>
          </a:solidFill>
        </a:ln>
      </a:spPr>
      <a:bodyPr vertOverflow="clip" horzOverflow="clip" rtlCol="0" anchor="ctr"/>
      <a:lstStyle>
        <a:defPPr algn="ctr">
          <a:defRPr sz="1100">
            <a:solidFill>
              <a:schemeClr val="tx2">
                <a:lumMod val="75000"/>
              </a:schemeClr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2A660-A1F1-495D-A037-707AD0471BE4}">
  <sheetPr codeName="Sayfa1"/>
  <dimension ref="A1:AJ54"/>
  <sheetViews>
    <sheetView showGridLines="0" tabSelected="1" topLeftCell="A43" zoomScaleNormal="100" workbookViewId="0">
      <selection activeCell="AA57" sqref="AA57"/>
    </sheetView>
  </sheetViews>
  <sheetFormatPr defaultRowHeight="15" x14ac:dyDescent="0.25"/>
  <cols>
    <col min="1" max="23" width="5.7109375" customWidth="1"/>
    <col min="24" max="24" width="5.5703125" bestFit="1" customWidth="1"/>
    <col min="34" max="34" width="19.5703125" bestFit="1" customWidth="1"/>
    <col min="35" max="35" width="5.28515625" bestFit="1" customWidth="1"/>
  </cols>
  <sheetData>
    <row r="1" spans="1:36" ht="24" customHeight="1" x14ac:dyDescent="0.25">
      <c r="A1" s="32">
        <v>0</v>
      </c>
      <c r="B1" s="32">
        <v>0</v>
      </c>
      <c r="C1" s="32">
        <v>0</v>
      </c>
      <c r="D1" s="32">
        <v>0</v>
      </c>
      <c r="E1" s="32">
        <v>0</v>
      </c>
      <c r="F1" s="32">
        <v>0</v>
      </c>
      <c r="G1" s="32">
        <v>0</v>
      </c>
      <c r="H1" s="32">
        <v>0</v>
      </c>
      <c r="I1" s="32">
        <v>0</v>
      </c>
      <c r="J1" s="31">
        <v>10</v>
      </c>
      <c r="K1" s="32">
        <v>0</v>
      </c>
      <c r="L1" s="32">
        <v>0</v>
      </c>
      <c r="M1" s="32">
        <v>0</v>
      </c>
      <c r="N1" s="32">
        <v>0</v>
      </c>
      <c r="O1" s="32">
        <v>0</v>
      </c>
      <c r="P1" s="32">
        <v>0</v>
      </c>
      <c r="Q1" s="32">
        <v>0</v>
      </c>
      <c r="R1" s="32">
        <v>0</v>
      </c>
      <c r="S1" s="32">
        <v>0</v>
      </c>
      <c r="T1" s="32">
        <v>0</v>
      </c>
      <c r="U1" s="32">
        <v>0</v>
      </c>
      <c r="V1" s="32">
        <v>0</v>
      </c>
      <c r="AG1" s="35"/>
      <c r="AH1" s="35"/>
      <c r="AI1" s="35"/>
      <c r="AJ1" s="35"/>
    </row>
    <row r="2" spans="1:36" ht="24" customHeight="1" x14ac:dyDescent="0.2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2">
        <v>0</v>
      </c>
      <c r="G2" s="32">
        <v>0</v>
      </c>
      <c r="H2" s="32">
        <v>0</v>
      </c>
      <c r="I2" s="32">
        <v>0</v>
      </c>
      <c r="J2" s="31">
        <v>9</v>
      </c>
      <c r="K2" s="31">
        <v>9</v>
      </c>
      <c r="L2" s="31">
        <v>7</v>
      </c>
      <c r="M2" s="32">
        <v>0</v>
      </c>
      <c r="N2" s="32">
        <v>0</v>
      </c>
      <c r="O2" s="32">
        <v>0</v>
      </c>
      <c r="P2" s="32">
        <v>0</v>
      </c>
      <c r="Q2" s="32">
        <v>0</v>
      </c>
      <c r="R2" s="32">
        <v>0</v>
      </c>
      <c r="S2" s="32">
        <v>0</v>
      </c>
      <c r="T2" s="32">
        <v>0</v>
      </c>
      <c r="U2" s="32">
        <v>0</v>
      </c>
      <c r="V2" s="32">
        <v>0</v>
      </c>
      <c r="AG2" s="36" t="s">
        <v>69</v>
      </c>
      <c r="AH2" s="36" t="s">
        <v>52</v>
      </c>
      <c r="AI2" s="37" t="s">
        <v>53</v>
      </c>
      <c r="AJ2" s="38">
        <v>2</v>
      </c>
    </row>
    <row r="3" spans="1:36" ht="24" customHeight="1" x14ac:dyDescent="0.25">
      <c r="A3" s="32">
        <v>0</v>
      </c>
      <c r="B3" s="32">
        <v>0</v>
      </c>
      <c r="C3" s="32">
        <v>0</v>
      </c>
      <c r="D3" s="32">
        <v>0</v>
      </c>
      <c r="E3" s="32">
        <v>0</v>
      </c>
      <c r="F3" s="32">
        <v>0</v>
      </c>
      <c r="G3" s="31">
        <v>7</v>
      </c>
      <c r="H3" s="32">
        <v>0</v>
      </c>
      <c r="I3" s="32">
        <v>0</v>
      </c>
      <c r="J3" s="31">
        <v>11</v>
      </c>
      <c r="K3" s="31">
        <v>5</v>
      </c>
      <c r="L3" s="31">
        <v>11</v>
      </c>
      <c r="M3" s="31">
        <v>11</v>
      </c>
      <c r="N3" s="32">
        <v>0</v>
      </c>
      <c r="O3" s="32">
        <v>0</v>
      </c>
      <c r="P3" s="32">
        <v>0</v>
      </c>
      <c r="Q3" s="32">
        <v>0</v>
      </c>
      <c r="R3" s="32">
        <v>0</v>
      </c>
      <c r="S3" s="32">
        <v>0</v>
      </c>
      <c r="T3" s="32">
        <v>0</v>
      </c>
      <c r="U3" s="32">
        <v>0</v>
      </c>
      <c r="V3" s="32">
        <v>0</v>
      </c>
      <c r="AG3" s="36" t="s">
        <v>70</v>
      </c>
      <c r="AH3" s="36" t="s">
        <v>54</v>
      </c>
      <c r="AI3" s="37" t="s">
        <v>53</v>
      </c>
      <c r="AJ3" s="38">
        <v>4</v>
      </c>
    </row>
    <row r="4" spans="1:36" ht="24" customHeight="1" x14ac:dyDescent="0.25">
      <c r="A4" s="32">
        <v>0</v>
      </c>
      <c r="B4" s="32">
        <v>0</v>
      </c>
      <c r="C4" s="32">
        <v>0</v>
      </c>
      <c r="D4" s="32">
        <v>0</v>
      </c>
      <c r="E4" s="32">
        <v>0</v>
      </c>
      <c r="F4" s="32">
        <v>0</v>
      </c>
      <c r="G4" s="32">
        <v>0</v>
      </c>
      <c r="H4" s="31">
        <v>10</v>
      </c>
      <c r="I4" s="32">
        <v>0</v>
      </c>
      <c r="J4" s="32">
        <v>0</v>
      </c>
      <c r="K4" s="31">
        <v>5</v>
      </c>
      <c r="L4" s="31">
        <v>8</v>
      </c>
      <c r="M4" s="31">
        <v>11</v>
      </c>
      <c r="N4" s="31">
        <v>11</v>
      </c>
      <c r="O4" s="32">
        <v>0</v>
      </c>
      <c r="P4" s="32">
        <v>0</v>
      </c>
      <c r="Q4" s="32">
        <v>0</v>
      </c>
      <c r="R4" s="32">
        <v>0</v>
      </c>
      <c r="S4" s="32">
        <v>0</v>
      </c>
      <c r="T4" s="32">
        <v>0</v>
      </c>
      <c r="U4" s="32">
        <v>0</v>
      </c>
      <c r="V4" s="32">
        <v>0</v>
      </c>
      <c r="AG4" s="36" t="s">
        <v>71</v>
      </c>
      <c r="AH4" s="36" t="s">
        <v>55</v>
      </c>
      <c r="AI4" s="37" t="s">
        <v>53</v>
      </c>
      <c r="AJ4" s="38">
        <v>20</v>
      </c>
    </row>
    <row r="5" spans="1:36" ht="24" customHeight="1" x14ac:dyDescent="0.25">
      <c r="A5" s="32">
        <v>0</v>
      </c>
      <c r="B5" s="32">
        <v>0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32">
        <v>0</v>
      </c>
      <c r="I5" s="31">
        <v>7</v>
      </c>
      <c r="J5" s="32">
        <v>0</v>
      </c>
      <c r="K5" s="32">
        <v>0</v>
      </c>
      <c r="L5" s="31">
        <v>12</v>
      </c>
      <c r="M5" s="31">
        <v>11</v>
      </c>
      <c r="N5" s="31">
        <v>5</v>
      </c>
      <c r="O5" s="31">
        <v>12</v>
      </c>
      <c r="P5" s="32">
        <v>0</v>
      </c>
      <c r="Q5" s="32">
        <v>0</v>
      </c>
      <c r="R5" s="32">
        <v>0</v>
      </c>
      <c r="S5" s="32">
        <v>0</v>
      </c>
      <c r="T5" s="32">
        <v>0</v>
      </c>
      <c r="U5" s="32">
        <v>0</v>
      </c>
      <c r="V5" s="32">
        <v>0</v>
      </c>
      <c r="AG5" s="36" t="s">
        <v>72</v>
      </c>
      <c r="AH5" s="36" t="s">
        <v>56</v>
      </c>
      <c r="AI5" s="37" t="s">
        <v>53</v>
      </c>
      <c r="AJ5" s="38">
        <v>250</v>
      </c>
    </row>
    <row r="6" spans="1:36" ht="24" customHeight="1" x14ac:dyDescent="0.25">
      <c r="A6" s="32">
        <v>0</v>
      </c>
      <c r="B6" s="32">
        <v>0</v>
      </c>
      <c r="C6" s="32">
        <v>0</v>
      </c>
      <c r="D6" s="32">
        <v>0</v>
      </c>
      <c r="E6" s="32">
        <v>0</v>
      </c>
      <c r="F6" s="32">
        <v>0</v>
      </c>
      <c r="G6" s="32">
        <v>0</v>
      </c>
      <c r="H6" s="32">
        <v>0</v>
      </c>
      <c r="I6" s="31">
        <v>7</v>
      </c>
      <c r="J6" s="31">
        <v>9</v>
      </c>
      <c r="K6" s="32">
        <v>0</v>
      </c>
      <c r="L6" s="32">
        <v>0</v>
      </c>
      <c r="M6" s="31">
        <v>11</v>
      </c>
      <c r="N6" s="31">
        <v>5</v>
      </c>
      <c r="O6" s="31">
        <v>9</v>
      </c>
      <c r="P6" s="32">
        <v>0</v>
      </c>
      <c r="Q6" s="32">
        <v>0</v>
      </c>
      <c r="R6" s="32">
        <v>0</v>
      </c>
      <c r="S6" s="32">
        <v>0</v>
      </c>
      <c r="T6" s="32">
        <v>0</v>
      </c>
      <c r="U6" s="32">
        <v>0</v>
      </c>
      <c r="V6" s="32">
        <v>0</v>
      </c>
      <c r="AG6" s="36" t="s">
        <v>73</v>
      </c>
      <c r="AH6" s="36" t="s">
        <v>67</v>
      </c>
      <c r="AI6" s="37" t="s">
        <v>58</v>
      </c>
      <c r="AJ6" s="39">
        <v>0.46</v>
      </c>
    </row>
    <row r="7" spans="1:36" ht="24" customHeight="1" x14ac:dyDescent="0.25">
      <c r="A7" s="32">
        <v>0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32">
        <v>0</v>
      </c>
      <c r="H7" s="32">
        <v>0</v>
      </c>
      <c r="I7" s="31">
        <v>8</v>
      </c>
      <c r="J7" s="31">
        <v>7</v>
      </c>
      <c r="K7" s="32">
        <v>0</v>
      </c>
      <c r="L7" s="32">
        <v>0</v>
      </c>
      <c r="M7" s="32">
        <v>0</v>
      </c>
      <c r="N7" s="31">
        <v>9</v>
      </c>
      <c r="O7" s="31">
        <v>10</v>
      </c>
      <c r="P7" s="32">
        <v>0</v>
      </c>
      <c r="Q7" s="32">
        <v>0</v>
      </c>
      <c r="R7" s="32">
        <v>0</v>
      </c>
      <c r="S7" s="32">
        <v>0</v>
      </c>
      <c r="T7" s="32">
        <v>0</v>
      </c>
      <c r="U7" s="32">
        <v>0</v>
      </c>
      <c r="V7" s="32">
        <v>0</v>
      </c>
      <c r="AG7" s="36" t="s">
        <v>74</v>
      </c>
      <c r="AH7" s="36" t="s">
        <v>57</v>
      </c>
      <c r="AI7" s="37" t="s">
        <v>58</v>
      </c>
      <c r="AJ7" s="41">
        <v>0.75</v>
      </c>
    </row>
    <row r="8" spans="1:36" ht="24" customHeight="1" x14ac:dyDescent="0.25">
      <c r="A8" s="32">
        <v>0</v>
      </c>
      <c r="B8" s="32">
        <v>0</v>
      </c>
      <c r="C8" s="32">
        <v>0</v>
      </c>
      <c r="D8" s="32">
        <v>0</v>
      </c>
      <c r="E8" s="32">
        <v>0</v>
      </c>
      <c r="F8" s="32">
        <v>0</v>
      </c>
      <c r="G8" s="32">
        <v>0</v>
      </c>
      <c r="H8" s="32">
        <v>0</v>
      </c>
      <c r="I8" s="32">
        <v>0</v>
      </c>
      <c r="J8" s="32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32">
        <v>0</v>
      </c>
      <c r="Q8" s="32">
        <v>0</v>
      </c>
      <c r="R8" s="32">
        <v>0</v>
      </c>
      <c r="S8" s="32">
        <v>0</v>
      </c>
      <c r="T8" s="32">
        <v>0</v>
      </c>
      <c r="U8" s="32">
        <v>0</v>
      </c>
      <c r="V8" s="32">
        <v>0</v>
      </c>
      <c r="AG8" s="36" t="s">
        <v>76</v>
      </c>
      <c r="AH8" s="36" t="s">
        <v>59</v>
      </c>
      <c r="AI8" s="40" t="s">
        <v>58</v>
      </c>
      <c r="AJ8" s="41">
        <v>0.1</v>
      </c>
    </row>
    <row r="9" spans="1:36" ht="24" customHeight="1" x14ac:dyDescent="0.25">
      <c r="AG9" s="36" t="s">
        <v>75</v>
      </c>
      <c r="AH9" s="36" t="s">
        <v>60</v>
      </c>
      <c r="AI9" s="40" t="s">
        <v>58</v>
      </c>
      <c r="AJ9" s="41">
        <v>0.02</v>
      </c>
    </row>
    <row r="10" spans="1:36" ht="24" customHeight="1" x14ac:dyDescent="0.25">
      <c r="A10" s="56" t="s">
        <v>82</v>
      </c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8"/>
      <c r="AG10" s="36" t="s">
        <v>77</v>
      </c>
      <c r="AH10" s="36" t="s">
        <v>61</v>
      </c>
      <c r="AI10" s="40" t="s">
        <v>62</v>
      </c>
      <c r="AJ10" s="38">
        <v>1</v>
      </c>
    </row>
    <row r="11" spans="1:36" ht="24" customHeight="1" x14ac:dyDescent="0.25">
      <c r="A11" s="32">
        <v>-4</v>
      </c>
      <c r="B11" s="32">
        <v>-4</v>
      </c>
      <c r="C11" s="32">
        <v>-4</v>
      </c>
      <c r="D11" s="32">
        <v>-4</v>
      </c>
      <c r="E11" s="32">
        <v>-4</v>
      </c>
      <c r="F11" s="32">
        <v>-4</v>
      </c>
      <c r="G11" s="32">
        <v>-4</v>
      </c>
      <c r="H11" s="32">
        <v>-4</v>
      </c>
      <c r="I11" s="32">
        <v>-4</v>
      </c>
      <c r="J11" s="31">
        <v>97</v>
      </c>
      <c r="K11" s="32">
        <v>-4</v>
      </c>
      <c r="L11" s="32">
        <v>-4</v>
      </c>
      <c r="M11" s="32">
        <v>-4</v>
      </c>
      <c r="N11" s="32">
        <v>-4</v>
      </c>
      <c r="O11" s="32">
        <v>-4</v>
      </c>
      <c r="P11" s="32">
        <v>-4</v>
      </c>
      <c r="Q11" s="32">
        <v>-4</v>
      </c>
      <c r="R11" s="32">
        <v>-4</v>
      </c>
      <c r="S11" s="32">
        <v>-4</v>
      </c>
      <c r="T11" s="32">
        <v>-4</v>
      </c>
      <c r="U11" s="32">
        <v>-4</v>
      </c>
      <c r="V11" s="32">
        <v>-4</v>
      </c>
      <c r="AG11" s="36" t="s">
        <v>78</v>
      </c>
      <c r="AH11" s="36" t="s">
        <v>63</v>
      </c>
      <c r="AI11" s="37" t="s">
        <v>62</v>
      </c>
      <c r="AJ11" s="38">
        <v>1</v>
      </c>
    </row>
    <row r="12" spans="1:36" ht="24" customHeight="1" x14ac:dyDescent="0.25">
      <c r="A12" s="32">
        <v>-4</v>
      </c>
      <c r="B12" s="32">
        <v>-4</v>
      </c>
      <c r="C12" s="32">
        <v>-4</v>
      </c>
      <c r="D12" s="32">
        <v>-4</v>
      </c>
      <c r="E12" s="32">
        <v>-4</v>
      </c>
      <c r="F12" s="32">
        <v>-4</v>
      </c>
      <c r="G12" s="32">
        <v>-4</v>
      </c>
      <c r="H12" s="32">
        <v>-4</v>
      </c>
      <c r="I12" s="32">
        <v>-4</v>
      </c>
      <c r="J12" s="31">
        <v>85.5</v>
      </c>
      <c r="K12" s="31">
        <v>85.5</v>
      </c>
      <c r="L12" s="31">
        <v>62.5</v>
      </c>
      <c r="M12" s="32">
        <v>-4</v>
      </c>
      <c r="N12" s="32">
        <v>-4</v>
      </c>
      <c r="O12" s="32">
        <v>-4</v>
      </c>
      <c r="P12" s="32">
        <v>-4</v>
      </c>
      <c r="Q12" s="32">
        <v>-4</v>
      </c>
      <c r="R12" s="32">
        <v>-4</v>
      </c>
      <c r="S12" s="32">
        <v>-4</v>
      </c>
      <c r="T12" s="32">
        <v>-4</v>
      </c>
      <c r="U12" s="32">
        <v>-4</v>
      </c>
      <c r="V12" s="32">
        <v>-4</v>
      </c>
      <c r="AG12" s="36" t="s">
        <v>79</v>
      </c>
      <c r="AH12" s="36" t="s">
        <v>64</v>
      </c>
      <c r="AI12" s="37" t="s">
        <v>62</v>
      </c>
      <c r="AJ12" s="38">
        <v>1</v>
      </c>
    </row>
    <row r="13" spans="1:36" ht="24" customHeight="1" x14ac:dyDescent="0.25">
      <c r="A13" s="32">
        <v>-4</v>
      </c>
      <c r="B13" s="32">
        <v>-4</v>
      </c>
      <c r="C13" s="32">
        <v>-4</v>
      </c>
      <c r="D13" s="32">
        <v>-4</v>
      </c>
      <c r="E13" s="32">
        <v>-4</v>
      </c>
      <c r="F13" s="32">
        <v>-4</v>
      </c>
      <c r="G13" s="31">
        <v>62.5</v>
      </c>
      <c r="H13" s="32">
        <v>-4</v>
      </c>
      <c r="I13" s="32">
        <v>-4</v>
      </c>
      <c r="J13" s="31">
        <v>108.50000000000001</v>
      </c>
      <c r="K13" s="31">
        <v>39.5</v>
      </c>
      <c r="L13" s="31">
        <v>108.50000000000001</v>
      </c>
      <c r="M13" s="31">
        <v>108.50000000000001</v>
      </c>
      <c r="N13" s="32">
        <v>-4</v>
      </c>
      <c r="O13" s="32">
        <v>-4</v>
      </c>
      <c r="P13" s="32">
        <v>-4</v>
      </c>
      <c r="Q13" s="32">
        <v>-4</v>
      </c>
      <c r="R13" s="32">
        <v>-4</v>
      </c>
      <c r="S13" s="32">
        <v>-4</v>
      </c>
      <c r="T13" s="32">
        <v>-4</v>
      </c>
      <c r="U13" s="32">
        <v>-4</v>
      </c>
      <c r="V13" s="32">
        <v>-4</v>
      </c>
      <c r="AG13" s="36" t="s">
        <v>80</v>
      </c>
      <c r="AH13" s="36" t="s">
        <v>66</v>
      </c>
      <c r="AI13" s="37" t="s">
        <v>68</v>
      </c>
      <c r="AJ13" s="38">
        <v>2.7</v>
      </c>
    </row>
    <row r="14" spans="1:36" ht="24" customHeight="1" x14ac:dyDescent="0.25">
      <c r="A14" s="32">
        <v>-4</v>
      </c>
      <c r="B14" s="32">
        <v>-4</v>
      </c>
      <c r="C14" s="32">
        <v>-4</v>
      </c>
      <c r="D14" s="32">
        <v>-4</v>
      </c>
      <c r="E14" s="32">
        <v>-4</v>
      </c>
      <c r="F14" s="32">
        <v>-4</v>
      </c>
      <c r="G14" s="32">
        <v>-4</v>
      </c>
      <c r="H14" s="31">
        <v>97</v>
      </c>
      <c r="I14" s="32">
        <v>-4</v>
      </c>
      <c r="J14" s="32">
        <v>-4</v>
      </c>
      <c r="K14" s="31">
        <v>39.5</v>
      </c>
      <c r="L14" s="31">
        <v>74</v>
      </c>
      <c r="M14" s="31">
        <v>108.50000000000001</v>
      </c>
      <c r="N14" s="31">
        <v>108.50000000000001</v>
      </c>
      <c r="O14" s="32">
        <v>-4</v>
      </c>
      <c r="P14" s="32">
        <v>-4</v>
      </c>
      <c r="Q14" s="32">
        <v>-4</v>
      </c>
      <c r="R14" s="32">
        <v>-4</v>
      </c>
      <c r="S14" s="32">
        <v>-4</v>
      </c>
      <c r="T14" s="32">
        <v>-4</v>
      </c>
      <c r="U14" s="32">
        <v>-4</v>
      </c>
      <c r="V14" s="32">
        <v>-4</v>
      </c>
      <c r="AG14" s="36" t="s">
        <v>81</v>
      </c>
      <c r="AH14" s="36" t="s">
        <v>65</v>
      </c>
      <c r="AI14" s="37" t="s">
        <v>68</v>
      </c>
      <c r="AJ14" s="38">
        <v>2.5</v>
      </c>
    </row>
    <row r="15" spans="1:36" ht="24" customHeight="1" x14ac:dyDescent="0.25">
      <c r="A15" s="32">
        <v>-4</v>
      </c>
      <c r="B15" s="32">
        <v>-4</v>
      </c>
      <c r="C15" s="32">
        <v>-4</v>
      </c>
      <c r="D15" s="32">
        <v>-4</v>
      </c>
      <c r="E15" s="32">
        <v>-4</v>
      </c>
      <c r="F15" s="32">
        <v>-4</v>
      </c>
      <c r="G15" s="32">
        <v>-4</v>
      </c>
      <c r="H15" s="32">
        <v>-4</v>
      </c>
      <c r="I15" s="31">
        <v>62.5</v>
      </c>
      <c r="J15" s="32">
        <v>-4</v>
      </c>
      <c r="K15" s="32">
        <v>-4</v>
      </c>
      <c r="L15" s="31">
        <v>120</v>
      </c>
      <c r="M15" s="31">
        <v>108.50000000000001</v>
      </c>
      <c r="N15" s="31">
        <v>39.5</v>
      </c>
      <c r="O15" s="31">
        <v>120</v>
      </c>
      <c r="P15" s="32">
        <v>-4</v>
      </c>
      <c r="Q15" s="32">
        <v>-4</v>
      </c>
      <c r="R15" s="32">
        <v>-4</v>
      </c>
      <c r="S15" s="32">
        <v>-4</v>
      </c>
      <c r="T15" s="32">
        <v>-4</v>
      </c>
      <c r="U15" s="32">
        <v>-4</v>
      </c>
      <c r="V15" s="32">
        <v>-4</v>
      </c>
      <c r="AH15" s="33"/>
      <c r="AI15" s="34"/>
    </row>
    <row r="16" spans="1:36" ht="24" customHeight="1" x14ac:dyDescent="0.25">
      <c r="A16" s="32">
        <v>-4</v>
      </c>
      <c r="B16" s="32">
        <v>-4</v>
      </c>
      <c r="C16" s="32">
        <v>-4</v>
      </c>
      <c r="D16" s="32">
        <v>-4</v>
      </c>
      <c r="E16" s="32">
        <v>-4</v>
      </c>
      <c r="F16" s="32">
        <v>-4</v>
      </c>
      <c r="G16" s="32">
        <v>-4</v>
      </c>
      <c r="H16" s="32">
        <v>-4</v>
      </c>
      <c r="I16" s="31">
        <v>62.5</v>
      </c>
      <c r="J16" s="31">
        <v>85.5</v>
      </c>
      <c r="K16" s="32">
        <v>-4</v>
      </c>
      <c r="L16" s="32">
        <v>-4</v>
      </c>
      <c r="M16" s="31">
        <v>108.50000000000001</v>
      </c>
      <c r="N16" s="31">
        <v>39.5</v>
      </c>
      <c r="O16" s="31">
        <v>85.5</v>
      </c>
      <c r="P16" s="32">
        <v>-4</v>
      </c>
      <c r="Q16" s="32">
        <v>-4</v>
      </c>
      <c r="R16" s="32">
        <v>-4</v>
      </c>
      <c r="S16" s="32">
        <v>-4</v>
      </c>
      <c r="T16" s="32">
        <v>-4</v>
      </c>
      <c r="U16" s="32">
        <v>-4</v>
      </c>
      <c r="V16" s="32">
        <v>-4</v>
      </c>
    </row>
    <row r="17" spans="1:23" ht="24" customHeight="1" x14ac:dyDescent="0.25">
      <c r="A17" s="32">
        <v>-4</v>
      </c>
      <c r="B17" s="32">
        <v>-4</v>
      </c>
      <c r="C17" s="32">
        <v>-4</v>
      </c>
      <c r="D17" s="32">
        <v>-4</v>
      </c>
      <c r="E17" s="32">
        <v>-4</v>
      </c>
      <c r="F17" s="32">
        <v>-4</v>
      </c>
      <c r="G17" s="32">
        <v>-4</v>
      </c>
      <c r="H17" s="32">
        <v>-4</v>
      </c>
      <c r="I17" s="31">
        <v>74</v>
      </c>
      <c r="J17" s="31">
        <v>62.5</v>
      </c>
      <c r="K17" s="32">
        <v>-4</v>
      </c>
      <c r="L17" s="32">
        <v>-4</v>
      </c>
      <c r="M17" s="32">
        <v>-4</v>
      </c>
      <c r="N17" s="31">
        <v>85.5</v>
      </c>
      <c r="O17" s="31">
        <v>97</v>
      </c>
      <c r="P17" s="32">
        <v>-4</v>
      </c>
      <c r="Q17" s="32">
        <v>-4</v>
      </c>
      <c r="R17" s="32">
        <v>-4</v>
      </c>
      <c r="S17" s="32">
        <v>-4</v>
      </c>
      <c r="T17" s="32">
        <v>-4</v>
      </c>
      <c r="U17" s="32">
        <v>-4</v>
      </c>
      <c r="V17" s="32">
        <v>-4</v>
      </c>
    </row>
    <row r="18" spans="1:23" ht="24" customHeight="1" x14ac:dyDescent="0.25">
      <c r="A18" s="32">
        <v>-4</v>
      </c>
      <c r="B18" s="32">
        <v>-4</v>
      </c>
      <c r="C18" s="32">
        <v>-4</v>
      </c>
      <c r="D18" s="32">
        <v>-4</v>
      </c>
      <c r="E18" s="32">
        <v>-4</v>
      </c>
      <c r="F18" s="32">
        <v>-4</v>
      </c>
      <c r="G18" s="32">
        <v>-4</v>
      </c>
      <c r="H18" s="32">
        <v>-4</v>
      </c>
      <c r="I18" s="32">
        <v>-4</v>
      </c>
      <c r="J18" s="32">
        <v>-4</v>
      </c>
      <c r="K18" s="32">
        <v>-4</v>
      </c>
      <c r="L18" s="32">
        <v>-4</v>
      </c>
      <c r="M18" s="32">
        <v>-4</v>
      </c>
      <c r="N18" s="32">
        <v>-4</v>
      </c>
      <c r="O18" s="32">
        <v>-4</v>
      </c>
      <c r="P18" s="32">
        <v>-4</v>
      </c>
      <c r="Q18" s="32">
        <v>-4</v>
      </c>
      <c r="R18" s="32">
        <v>-4</v>
      </c>
      <c r="S18" s="32">
        <v>-4</v>
      </c>
      <c r="T18" s="32">
        <v>-4</v>
      </c>
      <c r="U18" s="32">
        <v>-4</v>
      </c>
      <c r="V18" s="32">
        <v>-4</v>
      </c>
    </row>
    <row r="19" spans="1:23" ht="24" customHeight="1" x14ac:dyDescent="0.25"/>
    <row r="20" spans="1:23" ht="24" customHeight="1" x14ac:dyDescent="0.25"/>
    <row r="21" spans="1:23" ht="24" customHeight="1" x14ac:dyDescent="0.25">
      <c r="A21" s="56" t="s">
        <v>87</v>
      </c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8"/>
    </row>
    <row r="22" spans="1:23" ht="24" customHeight="1" x14ac:dyDescent="0.25">
      <c r="A22" s="32">
        <v>0</v>
      </c>
      <c r="B22" s="32">
        <v>0</v>
      </c>
      <c r="C22" s="32">
        <v>0</v>
      </c>
      <c r="D22" s="32">
        <v>0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32">
        <v>0</v>
      </c>
      <c r="K22" s="32">
        <v>0</v>
      </c>
      <c r="L22" s="32">
        <v>0</v>
      </c>
      <c r="M22" s="32">
        <v>0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V22" s="32">
        <v>0</v>
      </c>
      <c r="W22" s="32">
        <v>0</v>
      </c>
    </row>
    <row r="23" spans="1:23" ht="24" customHeight="1" x14ac:dyDescent="0.25">
      <c r="A23" s="32">
        <v>0</v>
      </c>
      <c r="B23" s="32">
        <v>-4</v>
      </c>
      <c r="C23" s="32">
        <v>-4</v>
      </c>
      <c r="D23" s="32">
        <v>-4</v>
      </c>
      <c r="E23" s="32">
        <v>-4</v>
      </c>
      <c r="F23" s="32">
        <v>-4</v>
      </c>
      <c r="G23" s="32">
        <v>-4</v>
      </c>
      <c r="H23" s="32">
        <v>-4</v>
      </c>
      <c r="I23" s="32">
        <v>-4</v>
      </c>
      <c r="J23" s="32">
        <v>-4</v>
      </c>
      <c r="K23" s="32">
        <v>97</v>
      </c>
      <c r="L23" s="32">
        <v>-4</v>
      </c>
      <c r="M23" s="32">
        <v>-4</v>
      </c>
      <c r="N23" s="32">
        <v>-4</v>
      </c>
      <c r="O23" s="32">
        <v>-4</v>
      </c>
      <c r="P23" s="32">
        <v>-4</v>
      </c>
      <c r="Q23" s="32">
        <v>-4</v>
      </c>
      <c r="R23" s="32">
        <v>-4</v>
      </c>
      <c r="S23" s="32">
        <v>-4</v>
      </c>
      <c r="T23" s="32">
        <v>-4</v>
      </c>
      <c r="U23" s="32">
        <v>-4</v>
      </c>
      <c r="V23" s="32">
        <v>-4</v>
      </c>
      <c r="W23" s="32">
        <v>-4</v>
      </c>
    </row>
    <row r="24" spans="1:23" ht="24" customHeight="1" x14ac:dyDescent="0.25">
      <c r="A24" s="32">
        <v>0</v>
      </c>
      <c r="B24" s="32">
        <v>-8</v>
      </c>
      <c r="C24" s="32">
        <v>-8</v>
      </c>
      <c r="D24" s="32">
        <v>-8</v>
      </c>
      <c r="E24" s="32">
        <v>-8</v>
      </c>
      <c r="F24" s="32">
        <v>-8</v>
      </c>
      <c r="G24" s="32">
        <v>-8</v>
      </c>
      <c r="H24" s="32">
        <v>-8</v>
      </c>
      <c r="I24" s="32">
        <v>-8</v>
      </c>
      <c r="J24" s="32">
        <v>-8</v>
      </c>
      <c r="K24" s="32">
        <v>182</v>
      </c>
      <c r="L24" s="32">
        <v>82</v>
      </c>
      <c r="M24" s="32">
        <v>58</v>
      </c>
      <c r="N24" s="32">
        <v>-8</v>
      </c>
      <c r="O24" s="32">
        <v>-8</v>
      </c>
      <c r="P24" s="32">
        <v>-8</v>
      </c>
      <c r="Q24" s="32">
        <v>-8</v>
      </c>
      <c r="R24" s="32">
        <v>-8</v>
      </c>
      <c r="S24" s="32">
        <v>-8</v>
      </c>
      <c r="T24" s="32">
        <v>-8</v>
      </c>
      <c r="U24" s="32">
        <v>-8</v>
      </c>
      <c r="V24" s="32">
        <v>-8</v>
      </c>
      <c r="W24" s="32">
        <v>-8</v>
      </c>
    </row>
    <row r="25" spans="1:23" ht="24" customHeight="1" x14ac:dyDescent="0.25">
      <c r="A25" s="32">
        <v>0</v>
      </c>
      <c r="B25" s="32">
        <v>-12</v>
      </c>
      <c r="C25" s="32">
        <v>-12</v>
      </c>
      <c r="D25" s="32">
        <v>-12</v>
      </c>
      <c r="E25" s="32">
        <v>-12</v>
      </c>
      <c r="F25" s="32">
        <v>-12</v>
      </c>
      <c r="G25" s="32">
        <v>-12</v>
      </c>
      <c r="H25" s="32">
        <v>54</v>
      </c>
      <c r="I25" s="32">
        <v>-12</v>
      </c>
      <c r="J25" s="32">
        <v>-12</v>
      </c>
      <c r="K25" s="32">
        <v>291</v>
      </c>
      <c r="L25" s="32">
        <v>121</v>
      </c>
      <c r="M25" s="32">
        <v>167</v>
      </c>
      <c r="N25" s="32">
        <v>101</v>
      </c>
      <c r="O25" s="32">
        <v>-12</v>
      </c>
      <c r="P25" s="32">
        <v>-12</v>
      </c>
      <c r="Q25" s="32">
        <v>-12</v>
      </c>
      <c r="R25" s="32">
        <v>-12</v>
      </c>
      <c r="S25" s="32">
        <v>-12</v>
      </c>
      <c r="T25" s="32">
        <v>-12</v>
      </c>
      <c r="U25" s="32">
        <v>-12</v>
      </c>
      <c r="V25" s="32">
        <v>-12</v>
      </c>
      <c r="W25" s="32">
        <v>-12</v>
      </c>
    </row>
    <row r="26" spans="1:23" ht="24" customHeight="1" x14ac:dyDescent="0.25">
      <c r="A26" s="32">
        <v>0</v>
      </c>
      <c r="B26" s="32">
        <v>-16</v>
      </c>
      <c r="C26" s="32">
        <v>-16</v>
      </c>
      <c r="D26" s="32">
        <v>-16</v>
      </c>
      <c r="E26" s="32">
        <v>-16</v>
      </c>
      <c r="F26" s="32">
        <v>-16</v>
      </c>
      <c r="G26" s="32">
        <v>-16</v>
      </c>
      <c r="H26" s="32">
        <v>50</v>
      </c>
      <c r="I26" s="32">
        <v>85</v>
      </c>
      <c r="J26" s="32">
        <v>-16</v>
      </c>
      <c r="K26" s="32">
        <v>287</v>
      </c>
      <c r="L26" s="32">
        <v>160</v>
      </c>
      <c r="M26" s="32">
        <v>241</v>
      </c>
      <c r="N26" s="32">
        <v>209</v>
      </c>
      <c r="O26" s="32">
        <v>97</v>
      </c>
      <c r="P26" s="32">
        <v>-16</v>
      </c>
      <c r="Q26" s="32">
        <v>-16</v>
      </c>
      <c r="R26" s="32">
        <v>-16</v>
      </c>
      <c r="S26" s="32">
        <v>-16</v>
      </c>
      <c r="T26" s="32">
        <v>-16</v>
      </c>
      <c r="U26" s="32">
        <v>-16</v>
      </c>
      <c r="V26" s="32">
        <v>-16</v>
      </c>
      <c r="W26" s="32">
        <v>-16</v>
      </c>
    </row>
    <row r="27" spans="1:23" ht="24" customHeight="1" x14ac:dyDescent="0.25">
      <c r="A27" s="32">
        <v>0</v>
      </c>
      <c r="B27" s="32">
        <v>-20</v>
      </c>
      <c r="C27" s="32">
        <v>-20</v>
      </c>
      <c r="D27" s="32">
        <v>-20</v>
      </c>
      <c r="E27" s="32">
        <v>-20</v>
      </c>
      <c r="F27" s="32">
        <v>-20</v>
      </c>
      <c r="G27" s="32">
        <v>-20</v>
      </c>
      <c r="H27" s="32">
        <v>46</v>
      </c>
      <c r="I27" s="32">
        <v>81</v>
      </c>
      <c r="J27" s="32">
        <v>46</v>
      </c>
      <c r="K27" s="32">
        <v>283</v>
      </c>
      <c r="L27" s="32">
        <v>156</v>
      </c>
      <c r="M27" s="32">
        <v>361</v>
      </c>
      <c r="N27" s="32">
        <v>318</v>
      </c>
      <c r="O27" s="32">
        <v>136</v>
      </c>
      <c r="P27" s="32">
        <v>104</v>
      </c>
      <c r="Q27" s="32">
        <v>-20</v>
      </c>
      <c r="R27" s="32">
        <v>-20</v>
      </c>
      <c r="S27" s="32">
        <v>-20</v>
      </c>
      <c r="T27" s="32">
        <v>-20</v>
      </c>
      <c r="U27" s="32">
        <v>-20</v>
      </c>
      <c r="V27" s="32">
        <v>-20</v>
      </c>
      <c r="W27" s="32">
        <v>-20</v>
      </c>
    </row>
    <row r="28" spans="1:23" ht="24" customHeight="1" x14ac:dyDescent="0.25">
      <c r="A28" s="32">
        <v>0</v>
      </c>
      <c r="B28" s="32">
        <v>-24</v>
      </c>
      <c r="C28" s="32">
        <v>-24</v>
      </c>
      <c r="D28" s="32">
        <v>-24</v>
      </c>
      <c r="E28" s="32">
        <v>-24</v>
      </c>
      <c r="F28" s="32">
        <v>-24</v>
      </c>
      <c r="G28" s="32">
        <v>-24</v>
      </c>
      <c r="H28" s="32">
        <v>42</v>
      </c>
      <c r="I28" s="32">
        <v>77</v>
      </c>
      <c r="J28" s="32">
        <v>109</v>
      </c>
      <c r="K28" s="32">
        <v>368</v>
      </c>
      <c r="L28" s="32">
        <v>152</v>
      </c>
      <c r="M28" s="32">
        <v>357</v>
      </c>
      <c r="N28" s="32">
        <v>426</v>
      </c>
      <c r="O28" s="32">
        <v>176</v>
      </c>
      <c r="P28" s="32">
        <v>190</v>
      </c>
      <c r="Q28" s="32">
        <v>-24</v>
      </c>
      <c r="R28" s="32">
        <v>-24</v>
      </c>
      <c r="S28" s="32">
        <v>-24</v>
      </c>
      <c r="T28" s="32">
        <v>-24</v>
      </c>
      <c r="U28" s="32">
        <v>-24</v>
      </c>
      <c r="V28" s="32">
        <v>-24</v>
      </c>
      <c r="W28" s="32">
        <v>-24</v>
      </c>
    </row>
    <row r="29" spans="1:23" ht="24" customHeight="1" x14ac:dyDescent="0.25">
      <c r="A29" s="32">
        <v>0</v>
      </c>
      <c r="B29" s="32">
        <v>-28</v>
      </c>
      <c r="C29" s="32">
        <v>-28</v>
      </c>
      <c r="D29" s="32">
        <v>-28</v>
      </c>
      <c r="E29" s="32">
        <v>-28</v>
      </c>
      <c r="F29" s="32">
        <v>-28</v>
      </c>
      <c r="G29" s="32">
        <v>-28</v>
      </c>
      <c r="H29" s="32">
        <v>38</v>
      </c>
      <c r="I29" s="32">
        <v>73</v>
      </c>
      <c r="J29" s="32">
        <v>183</v>
      </c>
      <c r="K29" s="32">
        <v>431</v>
      </c>
      <c r="L29" s="32">
        <v>148</v>
      </c>
      <c r="M29" s="32">
        <v>353</v>
      </c>
      <c r="N29" s="32">
        <v>422</v>
      </c>
      <c r="O29" s="32">
        <v>261</v>
      </c>
      <c r="P29" s="32">
        <v>286</v>
      </c>
      <c r="Q29" s="32">
        <v>-28</v>
      </c>
      <c r="R29" s="32">
        <v>-28</v>
      </c>
      <c r="S29" s="32">
        <v>-28</v>
      </c>
      <c r="T29" s="32">
        <v>-28</v>
      </c>
      <c r="U29" s="32">
        <v>-28</v>
      </c>
      <c r="V29" s="32">
        <v>-28</v>
      </c>
      <c r="W29" s="32">
        <v>-28</v>
      </c>
    </row>
    <row r="30" spans="1:23" ht="24" customHeight="1" x14ac:dyDescent="0.25">
      <c r="A30" s="32">
        <v>0</v>
      </c>
      <c r="B30" s="32">
        <v>-32</v>
      </c>
      <c r="C30" s="32">
        <v>-32</v>
      </c>
      <c r="D30" s="32">
        <v>-32</v>
      </c>
      <c r="E30" s="32">
        <v>-32</v>
      </c>
      <c r="F30" s="32">
        <v>-32</v>
      </c>
      <c r="G30" s="32">
        <v>-32</v>
      </c>
      <c r="H30" s="32">
        <v>34</v>
      </c>
      <c r="I30" s="32">
        <v>69</v>
      </c>
      <c r="J30" s="32">
        <v>179</v>
      </c>
      <c r="K30" s="32">
        <v>427</v>
      </c>
      <c r="L30" s="32">
        <v>144</v>
      </c>
      <c r="M30" s="32">
        <v>349</v>
      </c>
      <c r="N30" s="32">
        <v>418</v>
      </c>
      <c r="O30" s="32">
        <v>257</v>
      </c>
      <c r="P30" s="32">
        <v>282</v>
      </c>
      <c r="Q30" s="32">
        <v>-32</v>
      </c>
      <c r="R30" s="32">
        <v>-32</v>
      </c>
      <c r="S30" s="32">
        <v>-32</v>
      </c>
      <c r="T30" s="32">
        <v>-32</v>
      </c>
      <c r="U30" s="32">
        <v>-32</v>
      </c>
      <c r="V30" s="32">
        <v>-32</v>
      </c>
      <c r="W30" s="32">
        <v>-32</v>
      </c>
    </row>
    <row r="32" spans="1:23" ht="24" customHeight="1" x14ac:dyDescent="0.25"/>
    <row r="33" spans="1:30" ht="24" customHeight="1" x14ac:dyDescent="0.25">
      <c r="A33" s="56" t="s">
        <v>88</v>
      </c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8"/>
    </row>
    <row r="34" spans="1:30" ht="24" customHeight="1" x14ac:dyDescent="0.25">
      <c r="A34" s="32">
        <v>0</v>
      </c>
      <c r="B34" s="32">
        <v>0</v>
      </c>
      <c r="C34" s="32">
        <v>0</v>
      </c>
      <c r="D34" s="32">
        <v>0</v>
      </c>
      <c r="E34" s="32">
        <v>0</v>
      </c>
      <c r="F34" s="32">
        <v>0</v>
      </c>
      <c r="G34" s="32">
        <v>0</v>
      </c>
      <c r="H34" s="32">
        <v>0</v>
      </c>
      <c r="I34" s="32">
        <v>0</v>
      </c>
      <c r="J34" s="32">
        <v>0</v>
      </c>
      <c r="K34" s="32">
        <v>0</v>
      </c>
      <c r="L34" s="32">
        <v>0</v>
      </c>
      <c r="M34" s="32">
        <v>0</v>
      </c>
      <c r="N34" s="32">
        <v>0</v>
      </c>
      <c r="O34" s="32">
        <v>0</v>
      </c>
      <c r="P34" s="32">
        <v>0</v>
      </c>
      <c r="Q34" s="32">
        <v>0</v>
      </c>
      <c r="R34" s="32">
        <v>0</v>
      </c>
      <c r="S34" s="32">
        <v>0</v>
      </c>
      <c r="T34" s="32">
        <v>0</v>
      </c>
      <c r="U34" s="32">
        <v>0</v>
      </c>
      <c r="V34" s="32">
        <v>0</v>
      </c>
      <c r="W34" s="32">
        <v>0</v>
      </c>
    </row>
    <row r="35" spans="1:30" ht="24" customHeight="1" x14ac:dyDescent="0.25">
      <c r="A35" s="32">
        <v>0</v>
      </c>
      <c r="B35" s="32">
        <v>-4</v>
      </c>
      <c r="C35" s="32">
        <v>-4</v>
      </c>
      <c r="D35" s="32">
        <v>-4</v>
      </c>
      <c r="E35" s="32">
        <v>-4</v>
      </c>
      <c r="F35" s="32">
        <v>-4</v>
      </c>
      <c r="G35" s="32">
        <v>-4</v>
      </c>
      <c r="H35" s="32">
        <v>-4</v>
      </c>
      <c r="I35" s="32">
        <v>-4</v>
      </c>
      <c r="J35" s="32">
        <v>30</v>
      </c>
      <c r="K35" s="32">
        <v>127</v>
      </c>
      <c r="L35" s="32">
        <v>293</v>
      </c>
      <c r="M35" s="32">
        <v>484</v>
      </c>
      <c r="N35" s="32">
        <v>635</v>
      </c>
      <c r="O35" s="32">
        <v>814</v>
      </c>
      <c r="P35" s="32">
        <v>1120</v>
      </c>
      <c r="Q35" s="32">
        <v>1395</v>
      </c>
      <c r="R35" s="32">
        <v>1601</v>
      </c>
      <c r="S35" s="32">
        <v>1732</v>
      </c>
      <c r="T35" s="32">
        <v>1876</v>
      </c>
      <c r="U35" s="32">
        <v>2027</v>
      </c>
      <c r="V35" s="32">
        <v>2099</v>
      </c>
      <c r="W35" s="32">
        <v>2095</v>
      </c>
      <c r="X35" s="51" t="s">
        <v>97</v>
      </c>
      <c r="Y35">
        <v>2099</v>
      </c>
    </row>
    <row r="36" spans="1:30" ht="24" customHeight="1" x14ac:dyDescent="0.25">
      <c r="A36" s="32">
        <v>0</v>
      </c>
      <c r="B36" s="32">
        <v>-8</v>
      </c>
      <c r="C36" s="32">
        <v>-12</v>
      </c>
      <c r="D36" s="32">
        <v>-12</v>
      </c>
      <c r="E36" s="32">
        <v>-12</v>
      </c>
      <c r="F36" s="32">
        <v>-12</v>
      </c>
      <c r="G36" s="32">
        <v>-12</v>
      </c>
      <c r="H36" s="32">
        <v>-12</v>
      </c>
      <c r="I36" s="32">
        <v>34</v>
      </c>
      <c r="J36" s="32">
        <v>26</v>
      </c>
      <c r="K36" s="32">
        <v>297</v>
      </c>
      <c r="L36" s="32">
        <v>488</v>
      </c>
      <c r="M36" s="32">
        <v>639</v>
      </c>
      <c r="N36" s="32">
        <v>818</v>
      </c>
      <c r="O36" s="32">
        <v>1124</v>
      </c>
      <c r="P36" s="32">
        <v>1399</v>
      </c>
      <c r="Q36" s="32">
        <v>1605</v>
      </c>
      <c r="R36" s="32">
        <v>1736</v>
      </c>
      <c r="S36" s="32">
        <v>1880</v>
      </c>
      <c r="T36" s="32">
        <v>2031</v>
      </c>
      <c r="U36" s="32">
        <v>2103</v>
      </c>
      <c r="V36" s="32">
        <v>2095</v>
      </c>
      <c r="W36" s="32">
        <v>2091</v>
      </c>
    </row>
    <row r="37" spans="1:30" ht="24" customHeight="1" x14ac:dyDescent="0.25">
      <c r="A37" s="32">
        <v>0</v>
      </c>
      <c r="B37" s="32">
        <v>-12</v>
      </c>
      <c r="C37" s="32">
        <v>-20</v>
      </c>
      <c r="D37" s="32">
        <v>-24</v>
      </c>
      <c r="E37" s="32">
        <v>-24</v>
      </c>
      <c r="F37" s="32">
        <v>-24</v>
      </c>
      <c r="G37" s="32">
        <v>-24</v>
      </c>
      <c r="H37" s="32">
        <v>42</v>
      </c>
      <c r="I37" s="32">
        <v>30</v>
      </c>
      <c r="J37" s="32">
        <v>115</v>
      </c>
      <c r="K37" s="32">
        <v>406</v>
      </c>
      <c r="L37" s="32">
        <v>581</v>
      </c>
      <c r="M37" s="32">
        <v>826</v>
      </c>
      <c r="N37" s="32">
        <v>1132</v>
      </c>
      <c r="O37" s="32">
        <v>1407</v>
      </c>
      <c r="P37" s="32">
        <v>1613</v>
      </c>
      <c r="Q37" s="32">
        <v>1744</v>
      </c>
      <c r="R37" s="32">
        <v>1888</v>
      </c>
      <c r="S37" s="32">
        <v>2039</v>
      </c>
      <c r="T37" s="32">
        <v>2111</v>
      </c>
      <c r="U37" s="32">
        <v>2099</v>
      </c>
      <c r="V37" s="32">
        <v>2091</v>
      </c>
      <c r="W37" s="32">
        <v>2083</v>
      </c>
    </row>
    <row r="38" spans="1:30" ht="24" customHeight="1" x14ac:dyDescent="0.25">
      <c r="A38" s="32">
        <v>0</v>
      </c>
      <c r="B38" s="32">
        <v>-16</v>
      </c>
      <c r="C38" s="32">
        <v>-28</v>
      </c>
      <c r="D38" s="32">
        <v>-36</v>
      </c>
      <c r="E38" s="32">
        <v>-40</v>
      </c>
      <c r="F38" s="32">
        <v>-40</v>
      </c>
      <c r="G38" s="32">
        <v>-40</v>
      </c>
      <c r="H38" s="32">
        <v>26</v>
      </c>
      <c r="I38" s="32">
        <v>127</v>
      </c>
      <c r="J38" s="32">
        <v>111</v>
      </c>
      <c r="K38" s="32">
        <v>460</v>
      </c>
      <c r="L38" s="32">
        <v>659</v>
      </c>
      <c r="M38" s="32">
        <v>1031</v>
      </c>
      <c r="N38" s="32">
        <v>1419</v>
      </c>
      <c r="O38" s="32">
        <v>1625</v>
      </c>
      <c r="P38" s="32">
        <v>1756</v>
      </c>
      <c r="Q38" s="32">
        <v>1900</v>
      </c>
      <c r="R38" s="32">
        <v>2051</v>
      </c>
      <c r="S38" s="32">
        <v>2123</v>
      </c>
      <c r="T38" s="32">
        <v>2107</v>
      </c>
      <c r="U38" s="32">
        <v>2095</v>
      </c>
      <c r="V38" s="32">
        <v>2083</v>
      </c>
      <c r="W38" s="32">
        <v>2075</v>
      </c>
    </row>
    <row r="39" spans="1:30" ht="24" customHeight="1" x14ac:dyDescent="0.25">
      <c r="A39" s="32">
        <v>0</v>
      </c>
      <c r="B39" s="32">
        <v>-20</v>
      </c>
      <c r="C39" s="32">
        <v>-36</v>
      </c>
      <c r="D39" s="32">
        <v>-48</v>
      </c>
      <c r="E39" s="32">
        <v>-56</v>
      </c>
      <c r="F39" s="32">
        <v>-60</v>
      </c>
      <c r="G39" s="32">
        <v>-60</v>
      </c>
      <c r="H39" s="32">
        <v>6</v>
      </c>
      <c r="I39" s="32">
        <v>107</v>
      </c>
      <c r="J39" s="32">
        <v>173</v>
      </c>
      <c r="K39" s="32">
        <v>499</v>
      </c>
      <c r="L39" s="32">
        <v>790</v>
      </c>
      <c r="M39" s="32">
        <v>1210</v>
      </c>
      <c r="N39" s="32">
        <v>1528</v>
      </c>
      <c r="O39" s="32">
        <v>1772</v>
      </c>
      <c r="P39" s="32">
        <v>1916</v>
      </c>
      <c r="Q39" s="32">
        <v>2067</v>
      </c>
      <c r="R39" s="32">
        <v>2139</v>
      </c>
      <c r="S39" s="32">
        <v>2119</v>
      </c>
      <c r="T39" s="32">
        <v>2103</v>
      </c>
      <c r="U39" s="32">
        <v>2087</v>
      </c>
      <c r="V39" s="32">
        <v>2075</v>
      </c>
      <c r="W39" s="32">
        <v>2063</v>
      </c>
    </row>
    <row r="40" spans="1:30" ht="24" customHeight="1" x14ac:dyDescent="0.25">
      <c r="A40" s="32">
        <v>0</v>
      </c>
      <c r="B40" s="32">
        <v>-24</v>
      </c>
      <c r="C40" s="32">
        <v>-44</v>
      </c>
      <c r="D40" s="32">
        <v>-60</v>
      </c>
      <c r="E40" s="32">
        <v>-72</v>
      </c>
      <c r="F40" s="32">
        <v>-80</v>
      </c>
      <c r="G40" s="32">
        <v>-84</v>
      </c>
      <c r="H40" s="32">
        <v>-18</v>
      </c>
      <c r="I40" s="32">
        <v>83</v>
      </c>
      <c r="J40" s="32">
        <v>216</v>
      </c>
      <c r="K40" s="32">
        <v>634</v>
      </c>
      <c r="L40" s="32">
        <v>849</v>
      </c>
      <c r="M40" s="32">
        <v>1206</v>
      </c>
      <c r="N40" s="32">
        <v>1636</v>
      </c>
      <c r="O40" s="32">
        <v>1812</v>
      </c>
      <c r="P40" s="32">
        <v>2087</v>
      </c>
      <c r="Q40" s="32">
        <v>2159</v>
      </c>
      <c r="R40" s="32">
        <v>2135</v>
      </c>
      <c r="S40" s="32">
        <v>2115</v>
      </c>
      <c r="T40" s="32">
        <v>2095</v>
      </c>
      <c r="U40" s="32">
        <v>2079</v>
      </c>
      <c r="V40" s="32">
        <v>2063</v>
      </c>
      <c r="W40" s="32">
        <v>2051</v>
      </c>
    </row>
    <row r="41" spans="1:30" ht="24" customHeight="1" x14ac:dyDescent="0.25">
      <c r="A41" s="32">
        <v>0</v>
      </c>
      <c r="B41" s="32">
        <v>-28</v>
      </c>
      <c r="C41" s="32">
        <v>-52</v>
      </c>
      <c r="D41" s="32">
        <v>-72</v>
      </c>
      <c r="E41" s="32">
        <v>-88</v>
      </c>
      <c r="F41" s="32">
        <v>-100</v>
      </c>
      <c r="G41" s="32">
        <v>-108</v>
      </c>
      <c r="H41" s="32">
        <v>-46</v>
      </c>
      <c r="I41" s="32">
        <v>55</v>
      </c>
      <c r="J41" s="32">
        <v>266</v>
      </c>
      <c r="K41" s="32">
        <v>697</v>
      </c>
      <c r="L41" s="32">
        <v>845</v>
      </c>
      <c r="M41" s="32">
        <v>1202</v>
      </c>
      <c r="N41" s="32">
        <v>1628</v>
      </c>
      <c r="O41" s="32">
        <v>1897</v>
      </c>
      <c r="P41" s="32">
        <v>2183</v>
      </c>
      <c r="Q41" s="32">
        <v>2155</v>
      </c>
      <c r="R41" s="32">
        <v>2131</v>
      </c>
      <c r="S41" s="32">
        <v>2107</v>
      </c>
      <c r="T41" s="32">
        <v>2087</v>
      </c>
      <c r="U41" s="32">
        <v>2067</v>
      </c>
      <c r="V41" s="32">
        <v>2051</v>
      </c>
      <c r="W41" s="32">
        <v>2035</v>
      </c>
    </row>
    <row r="42" spans="1:30" ht="24" customHeight="1" x14ac:dyDescent="0.25">
      <c r="A42" s="32">
        <v>0</v>
      </c>
      <c r="B42" s="32">
        <v>-32</v>
      </c>
      <c r="C42" s="32">
        <v>-60</v>
      </c>
      <c r="D42" s="32">
        <v>-84</v>
      </c>
      <c r="E42" s="32">
        <v>-104</v>
      </c>
      <c r="F42" s="32">
        <v>-120</v>
      </c>
      <c r="G42" s="32">
        <v>-132</v>
      </c>
      <c r="H42" s="32">
        <v>-74</v>
      </c>
      <c r="I42" s="32">
        <v>23</v>
      </c>
      <c r="J42" s="32">
        <v>234</v>
      </c>
      <c r="K42" s="32">
        <v>693</v>
      </c>
      <c r="L42" s="32">
        <v>841</v>
      </c>
      <c r="M42" s="32">
        <v>1194</v>
      </c>
      <c r="N42" s="32">
        <v>1620</v>
      </c>
      <c r="O42" s="32">
        <v>1885</v>
      </c>
      <c r="P42" s="32">
        <v>2179</v>
      </c>
      <c r="Q42" s="32">
        <v>2151</v>
      </c>
      <c r="R42" s="32">
        <v>2123</v>
      </c>
      <c r="S42" s="32">
        <v>2099</v>
      </c>
      <c r="T42" s="32">
        <v>2075</v>
      </c>
      <c r="U42" s="32">
        <v>2055</v>
      </c>
      <c r="V42" s="32">
        <v>2035</v>
      </c>
      <c r="W42" s="32">
        <v>2019</v>
      </c>
    </row>
    <row r="43" spans="1:30" ht="21.75" customHeight="1" x14ac:dyDescent="0.25"/>
    <row r="44" spans="1:30" ht="24" customHeight="1" x14ac:dyDescent="0.25">
      <c r="B44" s="61" t="s">
        <v>99</v>
      </c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3"/>
      <c r="AD44" t="s">
        <v>98</v>
      </c>
    </row>
    <row r="45" spans="1:30" ht="24" customHeight="1" x14ac:dyDescent="0.25">
      <c r="A45" s="52"/>
      <c r="B45" s="32"/>
      <c r="C45" s="32"/>
      <c r="D45" s="53">
        <v>-4</v>
      </c>
      <c r="E45" s="32">
        <v>-4</v>
      </c>
      <c r="F45" s="32">
        <v>-4</v>
      </c>
      <c r="G45" s="32">
        <v>-4</v>
      </c>
      <c r="H45" s="32">
        <v>-4</v>
      </c>
      <c r="I45" s="32">
        <v>-4</v>
      </c>
      <c r="J45" s="32">
        <v>-4</v>
      </c>
      <c r="K45" s="32">
        <v>97</v>
      </c>
      <c r="L45" s="32">
        <v>-4</v>
      </c>
      <c r="M45" s="32">
        <v>-4</v>
      </c>
      <c r="N45" s="32">
        <v>-4</v>
      </c>
      <c r="O45" s="32">
        <v>-4</v>
      </c>
      <c r="P45" s="32">
        <v>-4</v>
      </c>
      <c r="Q45" s="32">
        <v>-4</v>
      </c>
      <c r="R45" s="32">
        <v>-4</v>
      </c>
      <c r="S45" s="32">
        <v>-4</v>
      </c>
      <c r="T45" s="32">
        <v>-4</v>
      </c>
      <c r="U45" s="32">
        <v>-4</v>
      </c>
      <c r="V45" s="53">
        <v>-4</v>
      </c>
      <c r="W45" s="32"/>
    </row>
    <row r="46" spans="1:30" ht="24" customHeight="1" x14ac:dyDescent="0.25">
      <c r="A46" s="52"/>
      <c r="B46" s="32"/>
      <c r="C46" s="32"/>
      <c r="D46" s="32"/>
      <c r="E46" s="53">
        <v>-4</v>
      </c>
      <c r="F46" s="32">
        <v>-4</v>
      </c>
      <c r="G46" s="32">
        <v>-4</v>
      </c>
      <c r="H46" s="32">
        <v>-4</v>
      </c>
      <c r="I46" s="32">
        <v>-4</v>
      </c>
      <c r="J46" s="32">
        <v>-4</v>
      </c>
      <c r="K46" s="32">
        <v>85.5</v>
      </c>
      <c r="L46" s="32">
        <v>85.5</v>
      </c>
      <c r="M46" s="32">
        <v>62.5</v>
      </c>
      <c r="N46" s="32">
        <v>-4</v>
      </c>
      <c r="O46" s="32">
        <v>-4</v>
      </c>
      <c r="P46" s="32">
        <v>-4</v>
      </c>
      <c r="Q46" s="32">
        <v>-4</v>
      </c>
      <c r="R46" s="32">
        <v>-4</v>
      </c>
      <c r="S46" s="32">
        <v>-4</v>
      </c>
      <c r="T46" s="32">
        <v>-4</v>
      </c>
      <c r="U46" s="53">
        <v>-4</v>
      </c>
      <c r="V46" s="32"/>
      <c r="W46" s="32"/>
      <c r="Y46" s="54"/>
      <c r="Z46" s="54"/>
      <c r="AA46" s="54"/>
      <c r="AB46" s="54"/>
      <c r="AC46" s="54"/>
    </row>
    <row r="47" spans="1:30" ht="24" customHeight="1" x14ac:dyDescent="0.25">
      <c r="A47" s="52"/>
      <c r="B47" s="32"/>
      <c r="C47" s="32"/>
      <c r="D47" s="32"/>
      <c r="E47" s="32"/>
      <c r="F47" s="53">
        <v>-4</v>
      </c>
      <c r="G47" s="32">
        <v>-4</v>
      </c>
      <c r="H47" s="32">
        <v>62.5</v>
      </c>
      <c r="I47" s="32">
        <v>-4</v>
      </c>
      <c r="J47" s="32">
        <v>-4</v>
      </c>
      <c r="K47" s="32">
        <v>108.50000000000001</v>
      </c>
      <c r="L47" s="32">
        <v>39.5</v>
      </c>
      <c r="M47" s="32">
        <v>108.50000000000001</v>
      </c>
      <c r="N47" s="32">
        <v>108.50000000000001</v>
      </c>
      <c r="O47" s="32">
        <v>-4</v>
      </c>
      <c r="P47" s="32">
        <v>-4</v>
      </c>
      <c r="Q47" s="32">
        <v>-4</v>
      </c>
      <c r="R47" s="32">
        <v>-4</v>
      </c>
      <c r="S47" s="32">
        <v>-4</v>
      </c>
      <c r="T47" s="53">
        <v>-4</v>
      </c>
      <c r="U47" s="32"/>
      <c r="V47" s="32"/>
      <c r="W47" s="32"/>
      <c r="Y47" s="59" t="s">
        <v>100</v>
      </c>
      <c r="Z47" s="59"/>
      <c r="AA47" s="59"/>
      <c r="AB47" s="59"/>
      <c r="AC47" s="59"/>
    </row>
    <row r="48" spans="1:30" ht="24" customHeight="1" x14ac:dyDescent="0.25">
      <c r="A48" s="52"/>
      <c r="B48" s="32"/>
      <c r="C48" s="32"/>
      <c r="D48" s="32"/>
      <c r="E48" s="32"/>
      <c r="F48" s="32"/>
      <c r="G48" s="53">
        <v>-4</v>
      </c>
      <c r="H48" s="32">
        <v>-4</v>
      </c>
      <c r="I48" s="32">
        <v>97</v>
      </c>
      <c r="J48" s="32">
        <v>-4</v>
      </c>
      <c r="K48" s="32">
        <v>-4</v>
      </c>
      <c r="L48" s="32">
        <v>39.5</v>
      </c>
      <c r="M48" s="32">
        <v>74</v>
      </c>
      <c r="N48" s="32">
        <v>108.50000000000001</v>
      </c>
      <c r="O48" s="32">
        <v>108.50000000000001</v>
      </c>
      <c r="P48" s="32">
        <v>-4</v>
      </c>
      <c r="Q48" s="32">
        <v>-4</v>
      </c>
      <c r="R48" s="32">
        <v>-4</v>
      </c>
      <c r="S48" s="53">
        <v>-4</v>
      </c>
      <c r="T48" s="32"/>
      <c r="U48" s="32"/>
      <c r="V48" s="32"/>
      <c r="W48" s="32"/>
      <c r="Y48" s="64">
        <f>SUM(B45:W52)</f>
        <v>2100.5</v>
      </c>
      <c r="Z48" s="65"/>
      <c r="AA48" s="65"/>
      <c r="AB48" s="66"/>
      <c r="AC48" s="55" t="s">
        <v>101</v>
      </c>
    </row>
    <row r="49" spans="1:29" ht="24" customHeight="1" x14ac:dyDescent="0.25">
      <c r="A49" s="52"/>
      <c r="B49" s="32"/>
      <c r="C49" s="32"/>
      <c r="D49" s="32"/>
      <c r="E49" s="32"/>
      <c r="F49" s="32"/>
      <c r="G49" s="32"/>
      <c r="H49" s="53">
        <v>-4</v>
      </c>
      <c r="I49" s="32">
        <v>-4</v>
      </c>
      <c r="J49" s="32">
        <v>62.5</v>
      </c>
      <c r="K49" s="32">
        <v>-4</v>
      </c>
      <c r="L49" s="32">
        <v>-4</v>
      </c>
      <c r="M49" s="53">
        <v>120</v>
      </c>
      <c r="N49" s="32">
        <v>108.50000000000001</v>
      </c>
      <c r="O49" s="32">
        <v>39.5</v>
      </c>
      <c r="P49" s="32">
        <v>120</v>
      </c>
      <c r="Q49" s="32">
        <v>-4</v>
      </c>
      <c r="R49" s="53">
        <v>-4</v>
      </c>
      <c r="S49" s="32"/>
      <c r="T49" s="32"/>
      <c r="U49" s="32"/>
      <c r="V49" s="32"/>
      <c r="W49" s="32"/>
      <c r="Y49" s="54"/>
      <c r="Z49" s="54"/>
      <c r="AA49" s="54"/>
      <c r="AB49" s="54"/>
      <c r="AC49" s="54"/>
    </row>
    <row r="50" spans="1:29" ht="24" customHeight="1" x14ac:dyDescent="0.25">
      <c r="A50" s="52"/>
      <c r="B50" s="32"/>
      <c r="C50" s="32"/>
      <c r="D50" s="32"/>
      <c r="E50" s="32"/>
      <c r="F50" s="32"/>
      <c r="G50" s="32"/>
      <c r="H50" s="32"/>
      <c r="I50" s="53">
        <v>-4</v>
      </c>
      <c r="J50" s="32">
        <v>62.5</v>
      </c>
      <c r="K50" s="32">
        <v>85.5</v>
      </c>
      <c r="L50" s="53">
        <v>-4</v>
      </c>
      <c r="M50" s="32"/>
      <c r="N50" s="53">
        <v>108.50000000000001</v>
      </c>
      <c r="O50" s="32">
        <v>39.5</v>
      </c>
      <c r="P50" s="32">
        <v>85.5</v>
      </c>
      <c r="Q50" s="53">
        <v>-4</v>
      </c>
      <c r="R50" s="32"/>
      <c r="S50" s="32"/>
      <c r="T50" s="32"/>
      <c r="U50" s="32"/>
      <c r="V50" s="32"/>
      <c r="W50" s="32"/>
      <c r="Y50" s="54"/>
      <c r="Z50" s="60"/>
      <c r="AA50" s="54"/>
      <c r="AB50" s="54"/>
      <c r="AC50" s="60"/>
    </row>
    <row r="51" spans="1:29" ht="24" customHeight="1" x14ac:dyDescent="0.25">
      <c r="A51" s="52"/>
      <c r="B51" s="32"/>
      <c r="C51" s="32"/>
      <c r="D51" s="32"/>
      <c r="E51" s="32"/>
      <c r="F51" s="32"/>
      <c r="G51" s="32"/>
      <c r="H51" s="32"/>
      <c r="I51" s="32"/>
      <c r="J51" s="53">
        <v>74</v>
      </c>
      <c r="K51" s="53">
        <v>62.5</v>
      </c>
      <c r="L51" s="32"/>
      <c r="M51" s="32"/>
      <c r="N51" s="32"/>
      <c r="O51" s="53">
        <v>85.5</v>
      </c>
      <c r="P51" s="53">
        <v>97</v>
      </c>
      <c r="Q51" s="32"/>
      <c r="R51" s="32"/>
      <c r="S51" s="32"/>
      <c r="T51" s="32"/>
      <c r="U51" s="32"/>
      <c r="V51" s="32"/>
      <c r="W51" s="32"/>
      <c r="Y51" s="54"/>
      <c r="Z51" s="54"/>
      <c r="AA51" s="54"/>
      <c r="AB51" s="54"/>
      <c r="AC51" s="54"/>
    </row>
    <row r="52" spans="1:29" ht="24" customHeight="1" x14ac:dyDescent="0.25">
      <c r="A52" s="5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Y52" s="54"/>
      <c r="Z52" s="54"/>
      <c r="AA52" s="54"/>
      <c r="AB52" s="54"/>
      <c r="AC52" s="54"/>
    </row>
    <row r="53" spans="1:29" ht="24" customHeight="1" x14ac:dyDescent="0.25"/>
    <row r="54" spans="1:29" ht="24" customHeight="1" x14ac:dyDescent="0.25"/>
  </sheetData>
  <protectedRanges>
    <protectedRange algorithmName="SHA-512" hashValue="6HWRNJ4qbH/lZnut/qgYL9yEYPyV1zpnvYhO5R1cPnxPZowXib0Ejaqbec1RsvqtGfIIAs4B1nZPehzcJUBshA==" saltValue="FdSdVtq/PJf49UJUX7UbeQ==" spinCount="100000" sqref="AG2:AJ14" name="Veri Girişi"/>
  </protectedRanges>
  <dataConsolidate/>
  <mergeCells count="6">
    <mergeCell ref="Y48:AB48"/>
    <mergeCell ref="A10:V10"/>
    <mergeCell ref="A21:W21"/>
    <mergeCell ref="A33:W33"/>
    <mergeCell ref="B44:W44"/>
    <mergeCell ref="Y47:AC47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56525-DCAC-495D-9AB7-6CB4AAA7EB7D}">
  <sheetPr codeName="Sayfa2"/>
  <dimension ref="A2:AS47"/>
  <sheetViews>
    <sheetView showGridLines="0" topLeftCell="A16" zoomScaleNormal="100" workbookViewId="0">
      <selection activeCell="G29" sqref="G29"/>
    </sheetView>
  </sheetViews>
  <sheetFormatPr defaultColWidth="3.28515625" defaultRowHeight="15" x14ac:dyDescent="0.25"/>
  <cols>
    <col min="1" max="1" width="4.5703125" customWidth="1"/>
    <col min="2" max="8" width="5.140625" customWidth="1"/>
    <col min="9" max="9" width="9.140625" customWidth="1"/>
    <col min="10" max="14" width="5.140625" customWidth="1"/>
    <col min="15" max="19" width="4.28515625" customWidth="1"/>
    <col min="20" max="24" width="5.140625" customWidth="1"/>
  </cols>
  <sheetData>
    <row r="2" spans="1:35" x14ac:dyDescent="0.25">
      <c r="A2" t="s">
        <v>10</v>
      </c>
      <c r="B2" t="s">
        <v>7</v>
      </c>
    </row>
    <row r="3" spans="1:35" x14ac:dyDescent="0.25">
      <c r="A3" t="s">
        <v>11</v>
      </c>
      <c r="B3" t="s">
        <v>7</v>
      </c>
      <c r="N3" s="3"/>
      <c r="O3" s="4">
        <v>1</v>
      </c>
      <c r="P3" s="4">
        <v>2</v>
      </c>
      <c r="Q3" s="4">
        <v>3</v>
      </c>
      <c r="R3" s="4">
        <v>4</v>
      </c>
      <c r="S3" s="4">
        <v>5</v>
      </c>
      <c r="T3" s="4">
        <v>6</v>
      </c>
      <c r="U3" s="4">
        <v>7</v>
      </c>
      <c r="V3" s="4">
        <v>8</v>
      </c>
      <c r="W3" s="4">
        <v>9</v>
      </c>
      <c r="X3" s="4">
        <v>10</v>
      </c>
      <c r="Y3" s="4">
        <v>11</v>
      </c>
      <c r="Z3" s="4">
        <v>12</v>
      </c>
      <c r="AA3" s="4">
        <v>13</v>
      </c>
      <c r="AB3" s="4">
        <v>14</v>
      </c>
      <c r="AC3" s="4">
        <v>15</v>
      </c>
      <c r="AD3" s="4">
        <v>16</v>
      </c>
      <c r="AE3" s="4">
        <v>17</v>
      </c>
      <c r="AF3" s="4">
        <v>18</v>
      </c>
      <c r="AG3" s="4">
        <v>19</v>
      </c>
      <c r="AH3" s="4">
        <v>20</v>
      </c>
      <c r="AI3" s="7">
        <v>21</v>
      </c>
    </row>
    <row r="4" spans="1:35" ht="15.75" thickBot="1" x14ac:dyDescent="0.3">
      <c r="A4" t="s">
        <v>12</v>
      </c>
      <c r="B4" t="s">
        <v>7</v>
      </c>
      <c r="N4" s="2">
        <v>1</v>
      </c>
      <c r="O4" s="1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12"/>
    </row>
    <row r="5" spans="1:35" ht="16.5" thickTop="1" thickBot="1" x14ac:dyDescent="0.3">
      <c r="A5" t="s">
        <v>13</v>
      </c>
      <c r="B5" s="10" t="s">
        <v>8</v>
      </c>
      <c r="N5" s="2">
        <v>2</v>
      </c>
      <c r="O5" s="2"/>
      <c r="P5" s="5"/>
      <c r="T5" s="13" t="s">
        <v>7</v>
      </c>
      <c r="U5" s="13" t="s">
        <v>7</v>
      </c>
      <c r="V5" s="13" t="s">
        <v>7</v>
      </c>
      <c r="W5" s="14" t="s">
        <v>8</v>
      </c>
      <c r="X5" s="13" t="s">
        <v>7</v>
      </c>
      <c r="Y5" s="13" t="s">
        <v>7</v>
      </c>
      <c r="Z5" s="13" t="s">
        <v>7</v>
      </c>
      <c r="AA5" s="13" t="s">
        <v>7</v>
      </c>
      <c r="AB5" s="13" t="s">
        <v>7</v>
      </c>
      <c r="AH5" s="9"/>
      <c r="AI5" s="8"/>
    </row>
    <row r="6" spans="1:35" ht="16.5" thickTop="1" thickBot="1" x14ac:dyDescent="0.3">
      <c r="A6" t="s">
        <v>14</v>
      </c>
      <c r="B6" t="s">
        <v>7</v>
      </c>
      <c r="N6" s="2">
        <v>3</v>
      </c>
      <c r="O6" s="2"/>
      <c r="Q6" s="5"/>
      <c r="T6" s="13" t="s">
        <v>7</v>
      </c>
      <c r="U6" s="13" t="s">
        <v>7</v>
      </c>
      <c r="V6" s="13" t="s">
        <v>7</v>
      </c>
      <c r="W6" s="14" t="s">
        <v>8</v>
      </c>
      <c r="X6" s="14" t="s">
        <v>8</v>
      </c>
      <c r="Y6" s="14" t="s">
        <v>8</v>
      </c>
      <c r="Z6" s="13" t="s">
        <v>7</v>
      </c>
      <c r="AA6" s="13" t="s">
        <v>7</v>
      </c>
      <c r="AB6" s="13" t="s">
        <v>7</v>
      </c>
      <c r="AG6" s="9"/>
      <c r="AI6" s="8"/>
    </row>
    <row r="7" spans="1:35" ht="16.5" thickTop="1" thickBot="1" x14ac:dyDescent="0.3">
      <c r="A7" t="s">
        <v>15</v>
      </c>
      <c r="B7" t="s">
        <v>7</v>
      </c>
      <c r="N7" s="2">
        <v>4</v>
      </c>
      <c r="O7" s="2"/>
      <c r="R7" s="5"/>
      <c r="T7" s="14" t="s">
        <v>8</v>
      </c>
      <c r="U7" s="13" t="s">
        <v>7</v>
      </c>
      <c r="V7" s="13" t="s">
        <v>7</v>
      </c>
      <c r="W7" s="14" t="s">
        <v>8</v>
      </c>
      <c r="X7" s="14" t="s">
        <v>8</v>
      </c>
      <c r="Y7" s="14" t="s">
        <v>8</v>
      </c>
      <c r="Z7" s="14"/>
      <c r="AA7" s="13" t="s">
        <v>7</v>
      </c>
      <c r="AB7" s="13" t="s">
        <v>7</v>
      </c>
      <c r="AF7" s="9"/>
      <c r="AI7" s="8"/>
    </row>
    <row r="8" spans="1:35" ht="16.5" thickTop="1" thickBot="1" x14ac:dyDescent="0.3">
      <c r="A8" t="s">
        <v>16</v>
      </c>
      <c r="B8" t="s">
        <v>7</v>
      </c>
      <c r="N8" s="2">
        <v>5</v>
      </c>
      <c r="O8" s="2"/>
      <c r="S8" s="17"/>
      <c r="T8" s="13" t="s">
        <v>7</v>
      </c>
      <c r="U8" s="14" t="s">
        <v>8</v>
      </c>
      <c r="V8" s="13" t="s">
        <v>7</v>
      </c>
      <c r="W8" s="13" t="s">
        <v>7</v>
      </c>
      <c r="X8" s="14" t="s">
        <v>8</v>
      </c>
      <c r="Y8" s="14" t="s">
        <v>8</v>
      </c>
      <c r="Z8" s="14" t="s">
        <v>8</v>
      </c>
      <c r="AA8" s="14" t="s">
        <v>8</v>
      </c>
      <c r="AB8" s="13" t="s">
        <v>7</v>
      </c>
      <c r="AE8" s="9"/>
      <c r="AI8" s="8"/>
    </row>
    <row r="9" spans="1:35" ht="16.5" thickTop="1" thickBot="1" x14ac:dyDescent="0.3">
      <c r="A9" t="s">
        <v>17</v>
      </c>
      <c r="B9" t="s">
        <v>7</v>
      </c>
      <c r="N9" s="2">
        <v>6</v>
      </c>
      <c r="O9" s="2"/>
      <c r="T9" s="18" t="s">
        <v>7</v>
      </c>
      <c r="U9" s="13" t="s">
        <v>7</v>
      </c>
      <c r="V9" s="14" t="s">
        <v>8</v>
      </c>
      <c r="W9" s="13" t="s">
        <v>7</v>
      </c>
      <c r="X9" s="13" t="s">
        <v>7</v>
      </c>
      <c r="Y9" s="16" t="s">
        <v>8</v>
      </c>
      <c r="Z9" s="14" t="s">
        <v>8</v>
      </c>
      <c r="AA9" s="14" t="s">
        <v>8</v>
      </c>
      <c r="AB9" s="14" t="s">
        <v>8</v>
      </c>
      <c r="AD9" s="9"/>
      <c r="AI9" s="8"/>
    </row>
    <row r="10" spans="1:35" ht="16.5" thickTop="1" thickBot="1" x14ac:dyDescent="0.3">
      <c r="A10" t="s">
        <v>18</v>
      </c>
      <c r="B10" t="s">
        <v>7</v>
      </c>
      <c r="N10" s="2">
        <v>7</v>
      </c>
      <c r="O10" s="2"/>
      <c r="T10" s="19" t="s">
        <v>7</v>
      </c>
      <c r="U10" s="18" t="s">
        <v>7</v>
      </c>
      <c r="V10" s="14" t="s">
        <v>8</v>
      </c>
      <c r="W10" s="14" t="s">
        <v>8</v>
      </c>
      <c r="X10" s="25" t="s">
        <v>7</v>
      </c>
      <c r="Y10" s="24" t="s">
        <v>7</v>
      </c>
      <c r="Z10" s="21" t="s">
        <v>8</v>
      </c>
      <c r="AA10" s="14" t="s">
        <v>8</v>
      </c>
      <c r="AB10" s="14" t="s">
        <v>8</v>
      </c>
      <c r="AC10" s="23"/>
      <c r="AI10" s="8"/>
    </row>
    <row r="11" spans="1:35" ht="15.75" thickTop="1" x14ac:dyDescent="0.25">
      <c r="A11" t="s">
        <v>19</v>
      </c>
      <c r="B11" t="s">
        <v>7</v>
      </c>
      <c r="N11" s="5">
        <v>8</v>
      </c>
      <c r="O11" s="5"/>
      <c r="P11" s="6"/>
      <c r="Q11" s="6"/>
      <c r="R11" s="6"/>
      <c r="S11" s="6"/>
      <c r="T11" s="15" t="s">
        <v>7</v>
      </c>
      <c r="U11" s="20" t="s">
        <v>7</v>
      </c>
      <c r="V11" s="21" t="s">
        <v>8</v>
      </c>
      <c r="W11" s="22" t="s">
        <v>8</v>
      </c>
      <c r="X11" s="26" t="s">
        <v>7</v>
      </c>
      <c r="Y11" s="15" t="s">
        <v>7</v>
      </c>
      <c r="Z11" s="20" t="s">
        <v>7</v>
      </c>
      <c r="AA11" s="21" t="s">
        <v>8</v>
      </c>
      <c r="AB11" s="22" t="s">
        <v>8</v>
      </c>
      <c r="AC11" s="6"/>
      <c r="AD11" s="6"/>
      <c r="AE11" s="6"/>
      <c r="AF11" s="6"/>
      <c r="AG11" s="6"/>
      <c r="AH11" s="6"/>
      <c r="AI11" s="9"/>
    </row>
    <row r="12" spans="1:35" x14ac:dyDescent="0.25">
      <c r="A12" t="s">
        <v>20</v>
      </c>
      <c r="B12" t="s">
        <v>7</v>
      </c>
    </row>
    <row r="13" spans="1:35" x14ac:dyDescent="0.25">
      <c r="A13" t="s">
        <v>21</v>
      </c>
      <c r="B13" t="s">
        <v>7</v>
      </c>
    </row>
    <row r="14" spans="1:35" x14ac:dyDescent="0.25">
      <c r="A14" t="s">
        <v>22</v>
      </c>
      <c r="B14" s="10" t="s">
        <v>8</v>
      </c>
      <c r="T14" t="s">
        <v>0</v>
      </c>
      <c r="Y14" t="s">
        <v>2</v>
      </c>
    </row>
    <row r="15" spans="1:35" x14ac:dyDescent="0.25">
      <c r="A15" t="s">
        <v>23</v>
      </c>
      <c r="B15" s="10" t="s">
        <v>8</v>
      </c>
      <c r="T15" t="s">
        <v>1</v>
      </c>
      <c r="AA15" t="s">
        <v>3</v>
      </c>
    </row>
    <row r="16" spans="1:35" x14ac:dyDescent="0.25">
      <c r="A16" t="s">
        <v>24</v>
      </c>
      <c r="B16" s="10" t="s">
        <v>8</v>
      </c>
      <c r="T16" t="s">
        <v>4</v>
      </c>
      <c r="AA16" t="s">
        <v>5</v>
      </c>
    </row>
    <row r="17" spans="1:45" x14ac:dyDescent="0.25">
      <c r="A17" t="s">
        <v>25</v>
      </c>
      <c r="B17" t="s">
        <v>7</v>
      </c>
    </row>
    <row r="18" spans="1:45" x14ac:dyDescent="0.25">
      <c r="A18" t="s">
        <v>26</v>
      </c>
      <c r="B18" t="s">
        <v>7</v>
      </c>
    </row>
    <row r="19" spans="1:45" x14ac:dyDescent="0.25">
      <c r="A19" t="s">
        <v>27</v>
      </c>
      <c r="B19" t="s">
        <v>7</v>
      </c>
      <c r="I19" s="46" t="s">
        <v>84</v>
      </c>
      <c r="J19" s="45">
        <v>0</v>
      </c>
      <c r="T19" t="s">
        <v>6</v>
      </c>
    </row>
    <row r="20" spans="1:45" x14ac:dyDescent="0.25">
      <c r="I20" s="43" t="s">
        <v>85</v>
      </c>
      <c r="J20" s="44" t="s">
        <v>83</v>
      </c>
      <c r="T20" t="s">
        <v>9</v>
      </c>
    </row>
    <row r="21" spans="1:45" ht="15.75" thickBot="1" x14ac:dyDescent="0.3">
      <c r="I21" s="48" t="s">
        <v>86</v>
      </c>
      <c r="J21" s="47">
        <v>0</v>
      </c>
      <c r="S21" s="1" t="s">
        <v>38</v>
      </c>
      <c r="T21" s="4">
        <v>1</v>
      </c>
      <c r="U21" s="4">
        <v>2</v>
      </c>
      <c r="V21" s="4">
        <v>3</v>
      </c>
      <c r="W21" s="4">
        <v>4</v>
      </c>
      <c r="X21" s="4">
        <v>5</v>
      </c>
      <c r="Y21" s="4">
        <v>6</v>
      </c>
      <c r="Z21" s="4">
        <v>7</v>
      </c>
      <c r="AA21" s="4">
        <v>8</v>
      </c>
      <c r="AB21" s="4">
        <v>9</v>
      </c>
    </row>
    <row r="22" spans="1:45" ht="16.5" thickTop="1" thickBot="1" x14ac:dyDescent="0.3">
      <c r="S22" s="2">
        <v>1</v>
      </c>
      <c r="T22" s="28" t="s">
        <v>7</v>
      </c>
      <c r="U22" s="13" t="s">
        <v>7</v>
      </c>
      <c r="V22" s="13" t="s">
        <v>7</v>
      </c>
      <c r="W22" s="14" t="s">
        <v>39</v>
      </c>
      <c r="X22" s="13" t="s">
        <v>7</v>
      </c>
      <c r="Y22" s="13" t="s">
        <v>7</v>
      </c>
      <c r="Z22" s="13" t="s">
        <v>7</v>
      </c>
      <c r="AA22" s="13" t="s">
        <v>7</v>
      </c>
      <c r="AB22" s="13" t="s">
        <v>7</v>
      </c>
      <c r="AD22">
        <v>1</v>
      </c>
      <c r="AE22" s="27" t="s">
        <v>28</v>
      </c>
      <c r="AQ22" s="29" t="s">
        <v>7</v>
      </c>
      <c r="AS22" t="s">
        <v>29</v>
      </c>
    </row>
    <row r="23" spans="1:45" ht="16.5" thickTop="1" thickBot="1" x14ac:dyDescent="0.3">
      <c r="I23" s="42"/>
      <c r="J23" s="42"/>
      <c r="K23" s="42"/>
      <c r="S23" s="2">
        <v>2</v>
      </c>
      <c r="T23" s="13" t="s">
        <v>7</v>
      </c>
      <c r="U23" s="13" t="s">
        <v>7</v>
      </c>
      <c r="V23" s="13" t="s">
        <v>7</v>
      </c>
      <c r="W23" s="14" t="s">
        <v>39</v>
      </c>
      <c r="X23" s="14" t="s">
        <v>40</v>
      </c>
      <c r="Y23" s="14" t="s">
        <v>41</v>
      </c>
      <c r="Z23" s="13" t="s">
        <v>7</v>
      </c>
      <c r="AA23" s="13" t="s">
        <v>7</v>
      </c>
      <c r="AB23" s="13" t="s">
        <v>7</v>
      </c>
      <c r="AD23">
        <v>2</v>
      </c>
      <c r="AE23" s="27" t="s">
        <v>30</v>
      </c>
    </row>
    <row r="24" spans="1:45" ht="16.5" thickTop="1" thickBot="1" x14ac:dyDescent="0.3">
      <c r="C24" t="s">
        <v>48</v>
      </c>
      <c r="I24" s="42"/>
      <c r="J24" s="42"/>
      <c r="K24" s="42"/>
      <c r="S24" s="2">
        <v>3</v>
      </c>
      <c r="T24" s="14" t="s">
        <v>46</v>
      </c>
      <c r="U24" s="13" t="s">
        <v>7</v>
      </c>
      <c r="V24" s="13" t="s">
        <v>7</v>
      </c>
      <c r="W24" s="14" t="s">
        <v>39</v>
      </c>
      <c r="X24" s="14" t="s">
        <v>40</v>
      </c>
      <c r="Y24" s="14" t="s">
        <v>41</v>
      </c>
      <c r="Z24" s="14" t="s">
        <v>42</v>
      </c>
      <c r="AA24" s="13" t="s">
        <v>7</v>
      </c>
      <c r="AB24" s="13" t="s">
        <v>7</v>
      </c>
      <c r="AD24">
        <v>3</v>
      </c>
      <c r="AE24" s="27" t="s">
        <v>31</v>
      </c>
    </row>
    <row r="25" spans="1:45" ht="16.5" thickTop="1" thickBot="1" x14ac:dyDescent="0.3">
      <c r="C25" t="s">
        <v>49</v>
      </c>
      <c r="I25" s="42"/>
      <c r="J25" s="42"/>
      <c r="K25" s="42"/>
      <c r="S25" s="2">
        <v>4</v>
      </c>
      <c r="T25" s="13" t="s">
        <v>7</v>
      </c>
      <c r="U25" s="14" t="s">
        <v>45</v>
      </c>
      <c r="V25" s="13" t="s">
        <v>7</v>
      </c>
      <c r="W25" s="13" t="s">
        <v>7</v>
      </c>
      <c r="X25" s="14" t="s">
        <v>40</v>
      </c>
      <c r="Y25" s="14" t="s">
        <v>41</v>
      </c>
      <c r="Z25" s="14" t="s">
        <v>42</v>
      </c>
      <c r="AA25" s="14" t="s">
        <v>43</v>
      </c>
      <c r="AB25" s="13" t="s">
        <v>7</v>
      </c>
      <c r="AD25">
        <v>4</v>
      </c>
      <c r="AE25" s="27" t="s">
        <v>32</v>
      </c>
    </row>
    <row r="26" spans="1:45" ht="16.5" thickTop="1" thickBot="1" x14ac:dyDescent="0.3">
      <c r="S26" s="2">
        <v>5</v>
      </c>
      <c r="T26" s="18" t="s">
        <v>7</v>
      </c>
      <c r="U26" s="13" t="s">
        <v>7</v>
      </c>
      <c r="V26" s="14" t="s">
        <v>47</v>
      </c>
      <c r="W26" s="13" t="s">
        <v>7</v>
      </c>
      <c r="X26" s="13" t="s">
        <v>7</v>
      </c>
      <c r="Y26" s="14" t="s">
        <v>41</v>
      </c>
      <c r="Z26" s="14" t="s">
        <v>42</v>
      </c>
      <c r="AA26" s="14" t="s">
        <v>43</v>
      </c>
      <c r="AB26" s="14" t="s">
        <v>44</v>
      </c>
      <c r="AD26">
        <v>5</v>
      </c>
      <c r="AE26" s="27" t="s">
        <v>33</v>
      </c>
    </row>
    <row r="27" spans="1:45" ht="16.5" thickTop="1" thickBot="1" x14ac:dyDescent="0.3">
      <c r="I27" s="34"/>
      <c r="S27" s="2">
        <v>6</v>
      </c>
      <c r="T27" s="19" t="s">
        <v>7</v>
      </c>
      <c r="U27" s="18" t="s">
        <v>7</v>
      </c>
      <c r="V27" s="14" t="s">
        <v>47</v>
      </c>
      <c r="W27" s="14" t="s">
        <v>39</v>
      </c>
      <c r="X27" s="25" t="s">
        <v>7</v>
      </c>
      <c r="Y27" s="24" t="s">
        <v>7</v>
      </c>
      <c r="Z27" s="14" t="s">
        <v>42</v>
      </c>
      <c r="AA27" s="14" t="s">
        <v>43</v>
      </c>
      <c r="AB27" s="14" t="s">
        <v>44</v>
      </c>
      <c r="AD27">
        <v>6</v>
      </c>
      <c r="AE27" s="27" t="s">
        <v>34</v>
      </c>
    </row>
    <row r="28" spans="1:45" ht="16.5" thickTop="1" thickBot="1" x14ac:dyDescent="0.3">
      <c r="S28" s="2">
        <v>7</v>
      </c>
      <c r="T28" s="15" t="s">
        <v>7</v>
      </c>
      <c r="U28" s="20" t="s">
        <v>7</v>
      </c>
      <c r="V28" s="14" t="s">
        <v>47</v>
      </c>
      <c r="W28" s="14" t="s">
        <v>39</v>
      </c>
      <c r="X28" s="26" t="s">
        <v>7</v>
      </c>
      <c r="Y28" s="15" t="s">
        <v>7</v>
      </c>
      <c r="Z28" s="20" t="s">
        <v>7</v>
      </c>
      <c r="AA28" s="14" t="s">
        <v>43</v>
      </c>
      <c r="AB28" s="14" t="s">
        <v>44</v>
      </c>
      <c r="AD28">
        <v>7</v>
      </c>
      <c r="AE28" s="27" t="s">
        <v>35</v>
      </c>
    </row>
    <row r="29" spans="1:45" ht="15.75" thickTop="1" x14ac:dyDescent="0.25">
      <c r="AD29">
        <v>8</v>
      </c>
      <c r="AE29" s="27" t="s">
        <v>36</v>
      </c>
    </row>
    <row r="30" spans="1:45" x14ac:dyDescent="0.25">
      <c r="AD30">
        <v>9</v>
      </c>
      <c r="AE30" s="27" t="s">
        <v>37</v>
      </c>
    </row>
    <row r="32" spans="1:45" x14ac:dyDescent="0.25">
      <c r="AD32" s="29" t="s">
        <v>50</v>
      </c>
    </row>
    <row r="33" spans="1:31" x14ac:dyDescent="0.25">
      <c r="AD33" t="s">
        <v>51</v>
      </c>
    </row>
    <row r="37" spans="1:31" x14ac:dyDescent="0.25">
      <c r="AD37" t="s">
        <v>89</v>
      </c>
    </row>
    <row r="38" spans="1:31" x14ac:dyDescent="0.25">
      <c r="AD38">
        <v>1</v>
      </c>
      <c r="AE38" t="s">
        <v>90</v>
      </c>
    </row>
    <row r="39" spans="1:31" x14ac:dyDescent="0.25">
      <c r="A39" s="32">
        <v>0</v>
      </c>
      <c r="B39" s="32">
        <v>0</v>
      </c>
      <c r="C39" s="32">
        <v>0</v>
      </c>
      <c r="D39" s="32">
        <v>0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32">
        <v>0</v>
      </c>
      <c r="K39" s="32">
        <v>0</v>
      </c>
      <c r="L39" s="32">
        <v>0</v>
      </c>
      <c r="M39" s="32">
        <v>0</v>
      </c>
      <c r="N39" s="32">
        <v>0</v>
      </c>
      <c r="O39" s="32">
        <v>0</v>
      </c>
      <c r="P39" s="32">
        <v>0</v>
      </c>
      <c r="Q39" s="32">
        <v>0</v>
      </c>
      <c r="R39" s="32">
        <v>0</v>
      </c>
      <c r="S39" s="32">
        <v>0</v>
      </c>
      <c r="T39" s="32">
        <v>0</v>
      </c>
      <c r="U39" s="32">
        <v>0</v>
      </c>
      <c r="V39" s="32">
        <v>0</v>
      </c>
      <c r="W39" s="32">
        <v>0</v>
      </c>
      <c r="AD39">
        <v>2</v>
      </c>
      <c r="AE39" t="s">
        <v>91</v>
      </c>
    </row>
    <row r="40" spans="1:31" x14ac:dyDescent="0.25">
      <c r="A40" s="32">
        <v>0</v>
      </c>
      <c r="B40" s="49">
        <v>-4</v>
      </c>
      <c r="C40" s="49">
        <v>-4</v>
      </c>
      <c r="D40" s="50">
        <v>-4</v>
      </c>
      <c r="E40" s="49">
        <v>-4</v>
      </c>
      <c r="F40" s="49">
        <v>-4</v>
      </c>
      <c r="G40" s="49">
        <v>-4</v>
      </c>
      <c r="H40" s="49">
        <v>-4</v>
      </c>
      <c r="I40" s="49">
        <v>-4</v>
      </c>
      <c r="J40" s="49">
        <v>42</v>
      </c>
      <c r="K40" s="49">
        <v>104</v>
      </c>
      <c r="L40" s="49">
        <v>190</v>
      </c>
      <c r="M40" s="49">
        <v>311</v>
      </c>
      <c r="N40" s="49">
        <v>613</v>
      </c>
      <c r="O40" s="49">
        <v>814</v>
      </c>
      <c r="P40" s="49">
        <v>1144</v>
      </c>
      <c r="Q40" s="49">
        <v>1327</v>
      </c>
      <c r="R40" s="49">
        <v>1498</v>
      </c>
      <c r="S40" s="49">
        <v>1653</v>
      </c>
      <c r="T40" s="49">
        <v>1773</v>
      </c>
      <c r="U40" s="49">
        <v>1913</v>
      </c>
      <c r="V40" s="50">
        <v>1998</v>
      </c>
      <c r="W40" s="49">
        <v>1994</v>
      </c>
      <c r="AD40">
        <v>3</v>
      </c>
      <c r="AE40" t="s">
        <v>92</v>
      </c>
    </row>
    <row r="41" spans="1:31" x14ac:dyDescent="0.25">
      <c r="A41" s="32">
        <v>0</v>
      </c>
      <c r="B41" s="49">
        <v>-8</v>
      </c>
      <c r="C41" s="49">
        <v>-12</v>
      </c>
      <c r="D41" s="49">
        <v>-12</v>
      </c>
      <c r="E41" s="50">
        <v>-12</v>
      </c>
      <c r="F41" s="49">
        <v>-12</v>
      </c>
      <c r="G41" s="49">
        <v>-12</v>
      </c>
      <c r="H41" s="49">
        <v>-12</v>
      </c>
      <c r="I41" s="49">
        <v>46</v>
      </c>
      <c r="J41" s="49">
        <v>38</v>
      </c>
      <c r="K41" s="49">
        <v>194</v>
      </c>
      <c r="L41" s="49">
        <v>315</v>
      </c>
      <c r="M41" s="49">
        <v>617</v>
      </c>
      <c r="N41" s="49">
        <v>818</v>
      </c>
      <c r="O41" s="49">
        <v>1148</v>
      </c>
      <c r="P41" s="49">
        <v>1331</v>
      </c>
      <c r="Q41" s="49">
        <v>1502</v>
      </c>
      <c r="R41" s="49">
        <v>1657</v>
      </c>
      <c r="S41" s="49">
        <v>1777</v>
      </c>
      <c r="T41" s="49">
        <v>1917</v>
      </c>
      <c r="U41" s="50">
        <v>2002</v>
      </c>
      <c r="V41" s="49">
        <v>1994</v>
      </c>
      <c r="W41" s="49">
        <v>1990</v>
      </c>
      <c r="AD41">
        <v>4</v>
      </c>
      <c r="AE41" t="s">
        <v>93</v>
      </c>
    </row>
    <row r="42" spans="1:31" x14ac:dyDescent="0.25">
      <c r="A42" s="32">
        <v>0</v>
      </c>
      <c r="B42" s="49">
        <v>-12</v>
      </c>
      <c r="C42" s="49">
        <v>-20</v>
      </c>
      <c r="D42" s="49">
        <v>-24</v>
      </c>
      <c r="E42" s="49">
        <v>-24</v>
      </c>
      <c r="F42" s="50">
        <v>-24</v>
      </c>
      <c r="G42" s="49">
        <v>-24</v>
      </c>
      <c r="H42" s="49">
        <v>54</v>
      </c>
      <c r="I42" s="49">
        <v>42</v>
      </c>
      <c r="J42" s="49">
        <v>81</v>
      </c>
      <c r="K42" s="49">
        <v>268</v>
      </c>
      <c r="L42" s="49">
        <v>524</v>
      </c>
      <c r="M42" s="49">
        <v>826</v>
      </c>
      <c r="N42" s="49">
        <v>1156</v>
      </c>
      <c r="O42" s="49">
        <v>1339</v>
      </c>
      <c r="P42" s="49">
        <v>1510</v>
      </c>
      <c r="Q42" s="49">
        <v>1665</v>
      </c>
      <c r="R42" s="49">
        <v>1785</v>
      </c>
      <c r="S42" s="49">
        <v>1925</v>
      </c>
      <c r="T42" s="50">
        <v>2010</v>
      </c>
      <c r="U42" s="49">
        <v>1998</v>
      </c>
      <c r="V42" s="49">
        <v>1990</v>
      </c>
      <c r="W42" s="49">
        <v>1982</v>
      </c>
      <c r="AD42">
        <v>5</v>
      </c>
      <c r="AE42" t="s">
        <v>94</v>
      </c>
    </row>
    <row r="43" spans="1:31" x14ac:dyDescent="0.25">
      <c r="A43" s="32">
        <v>0</v>
      </c>
      <c r="B43" s="49">
        <v>-16</v>
      </c>
      <c r="C43" s="49">
        <v>-28</v>
      </c>
      <c r="D43" s="49">
        <v>-36</v>
      </c>
      <c r="E43" s="49">
        <v>-40</v>
      </c>
      <c r="F43" s="49">
        <v>-40</v>
      </c>
      <c r="G43" s="50">
        <v>-40</v>
      </c>
      <c r="H43" s="49">
        <v>38</v>
      </c>
      <c r="I43" s="49">
        <v>93</v>
      </c>
      <c r="J43" s="49">
        <v>77</v>
      </c>
      <c r="K43" s="49">
        <v>380</v>
      </c>
      <c r="L43" s="49">
        <v>671</v>
      </c>
      <c r="M43" s="49">
        <v>1067</v>
      </c>
      <c r="N43" s="49">
        <v>1351</v>
      </c>
      <c r="O43" s="49">
        <v>1522</v>
      </c>
      <c r="P43" s="49">
        <v>1677</v>
      </c>
      <c r="Q43" s="49">
        <v>1797</v>
      </c>
      <c r="R43" s="49">
        <v>1937</v>
      </c>
      <c r="S43" s="50">
        <v>2022</v>
      </c>
      <c r="T43" s="49">
        <v>2006</v>
      </c>
      <c r="U43" s="49">
        <v>1994</v>
      </c>
      <c r="V43" s="49">
        <v>1982</v>
      </c>
      <c r="W43" s="49">
        <v>1974</v>
      </c>
      <c r="AD43">
        <v>6</v>
      </c>
      <c r="AE43" t="s">
        <v>95</v>
      </c>
    </row>
    <row r="44" spans="1:31" x14ac:dyDescent="0.25">
      <c r="A44" s="32">
        <v>0</v>
      </c>
      <c r="B44" s="49">
        <v>-20</v>
      </c>
      <c r="C44" s="49">
        <v>-36</v>
      </c>
      <c r="D44" s="49">
        <v>-48</v>
      </c>
      <c r="E44" s="49">
        <v>-56</v>
      </c>
      <c r="F44" s="49">
        <v>-60</v>
      </c>
      <c r="G44" s="49">
        <v>-60</v>
      </c>
      <c r="H44" s="50">
        <v>18</v>
      </c>
      <c r="I44" s="49">
        <v>73</v>
      </c>
      <c r="J44" s="49">
        <v>197</v>
      </c>
      <c r="K44" s="49">
        <v>476</v>
      </c>
      <c r="L44" s="49">
        <v>826</v>
      </c>
      <c r="M44" s="50">
        <v>1222</v>
      </c>
      <c r="N44" s="49">
        <v>1460</v>
      </c>
      <c r="O44" s="49">
        <v>1693</v>
      </c>
      <c r="P44" s="49">
        <v>1813</v>
      </c>
      <c r="Q44" s="49">
        <v>1953</v>
      </c>
      <c r="R44" s="50">
        <v>2038</v>
      </c>
      <c r="S44" s="49">
        <v>2018</v>
      </c>
      <c r="T44" s="49">
        <v>2002</v>
      </c>
      <c r="U44" s="49">
        <v>1986</v>
      </c>
      <c r="V44" s="49">
        <v>1974</v>
      </c>
      <c r="W44" s="49">
        <v>1962</v>
      </c>
      <c r="AD44">
        <v>7</v>
      </c>
      <c r="AE44" t="s">
        <v>96</v>
      </c>
    </row>
    <row r="45" spans="1:31" x14ac:dyDescent="0.25">
      <c r="A45" s="32">
        <v>0</v>
      </c>
      <c r="B45" s="49">
        <v>-24</v>
      </c>
      <c r="C45" s="49">
        <v>-44</v>
      </c>
      <c r="D45" s="49">
        <v>-60</v>
      </c>
      <c r="E45" s="49">
        <v>-72</v>
      </c>
      <c r="F45" s="49">
        <v>-80</v>
      </c>
      <c r="G45" s="49">
        <v>-84</v>
      </c>
      <c r="H45" s="49">
        <v>-6</v>
      </c>
      <c r="I45" s="50">
        <v>49</v>
      </c>
      <c r="J45" s="49">
        <v>297</v>
      </c>
      <c r="K45" s="49">
        <v>635</v>
      </c>
      <c r="L45" s="50">
        <v>919</v>
      </c>
      <c r="M45" s="49">
        <v>1218</v>
      </c>
      <c r="N45" s="50">
        <v>1557</v>
      </c>
      <c r="O45" s="49">
        <v>1767</v>
      </c>
      <c r="P45" s="49">
        <v>1973</v>
      </c>
      <c r="Q45" s="50">
        <v>2058</v>
      </c>
      <c r="R45" s="49">
        <v>2034</v>
      </c>
      <c r="S45" s="49">
        <v>2014</v>
      </c>
      <c r="T45" s="49">
        <v>1994</v>
      </c>
      <c r="U45" s="49">
        <v>1978</v>
      </c>
      <c r="V45" s="49">
        <v>1962</v>
      </c>
      <c r="W45" s="49">
        <v>1950</v>
      </c>
    </row>
    <row r="46" spans="1:31" x14ac:dyDescent="0.25">
      <c r="A46" s="32">
        <v>0</v>
      </c>
      <c r="B46" s="49">
        <v>-28</v>
      </c>
      <c r="C46" s="49">
        <v>-52</v>
      </c>
      <c r="D46" s="49">
        <v>-72</v>
      </c>
      <c r="E46" s="49">
        <v>-88</v>
      </c>
      <c r="F46" s="49">
        <v>-100</v>
      </c>
      <c r="G46" s="49">
        <v>-108</v>
      </c>
      <c r="H46" s="49">
        <v>-34</v>
      </c>
      <c r="I46" s="49">
        <v>21</v>
      </c>
      <c r="J46" s="50">
        <v>359</v>
      </c>
      <c r="K46" s="50">
        <v>732</v>
      </c>
      <c r="L46" s="49">
        <v>915</v>
      </c>
      <c r="M46" s="49">
        <v>1214</v>
      </c>
      <c r="N46" s="49">
        <v>1549</v>
      </c>
      <c r="O46" s="50">
        <v>1887</v>
      </c>
      <c r="P46" s="50">
        <v>2082</v>
      </c>
      <c r="Q46" s="49">
        <v>2054</v>
      </c>
      <c r="R46" s="49">
        <v>2030</v>
      </c>
      <c r="S46" s="49">
        <v>2006</v>
      </c>
      <c r="T46" s="49">
        <v>1986</v>
      </c>
      <c r="U46" s="49">
        <v>1966</v>
      </c>
      <c r="V46" s="49">
        <v>1950</v>
      </c>
      <c r="W46" s="49">
        <v>1934</v>
      </c>
    </row>
    <row r="47" spans="1:31" x14ac:dyDescent="0.25">
      <c r="A47" s="32">
        <v>0</v>
      </c>
      <c r="B47" s="49">
        <v>-32</v>
      </c>
      <c r="C47" s="49">
        <v>-60</v>
      </c>
      <c r="D47" s="49">
        <v>-84</v>
      </c>
      <c r="E47" s="49">
        <v>-104</v>
      </c>
      <c r="F47" s="49">
        <v>-120</v>
      </c>
      <c r="G47" s="49">
        <v>-132</v>
      </c>
      <c r="H47" s="49">
        <v>-62</v>
      </c>
      <c r="I47" s="49">
        <v>-11</v>
      </c>
      <c r="J47" s="49">
        <v>327</v>
      </c>
      <c r="K47" s="49">
        <v>728</v>
      </c>
      <c r="L47" s="49">
        <v>911</v>
      </c>
      <c r="M47" s="49">
        <v>1206</v>
      </c>
      <c r="N47" s="49">
        <v>1541</v>
      </c>
      <c r="O47" s="49">
        <v>1875</v>
      </c>
      <c r="P47" s="49">
        <v>2078</v>
      </c>
      <c r="Q47" s="49">
        <v>2050</v>
      </c>
      <c r="R47" s="49">
        <v>2022</v>
      </c>
      <c r="S47" s="49">
        <v>1998</v>
      </c>
      <c r="T47" s="49">
        <v>1974</v>
      </c>
      <c r="U47" s="49">
        <v>1954</v>
      </c>
      <c r="V47" s="49">
        <v>1934</v>
      </c>
      <c r="W47" s="49">
        <v>1918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D1B37-08D1-46FF-9411-0169F472E1E4}">
  <sheetPr codeName="Sayfa3"/>
  <dimension ref="A1:I17"/>
  <sheetViews>
    <sheetView workbookViewId="0">
      <selection activeCell="F30" sqref="F30"/>
    </sheetView>
  </sheetViews>
  <sheetFormatPr defaultRowHeight="15" x14ac:dyDescent="0.25"/>
  <sheetData>
    <row r="1" spans="1:9" ht="16.5" thickTop="1" thickBot="1" x14ac:dyDescent="0.3">
      <c r="A1" s="28" t="s">
        <v>7</v>
      </c>
      <c r="B1" s="13" t="s">
        <v>7</v>
      </c>
      <c r="C1" s="13" t="s">
        <v>7</v>
      </c>
      <c r="D1" s="30" t="s">
        <v>8</v>
      </c>
      <c r="E1" s="13" t="s">
        <v>7</v>
      </c>
      <c r="F1" s="13" t="s">
        <v>7</v>
      </c>
      <c r="G1" s="13" t="s">
        <v>7</v>
      </c>
      <c r="H1" s="13" t="s">
        <v>7</v>
      </c>
      <c r="I1" s="13" t="s">
        <v>7</v>
      </c>
    </row>
    <row r="2" spans="1:9" ht="16.5" thickTop="1" thickBot="1" x14ac:dyDescent="0.3">
      <c r="A2" s="13" t="s">
        <v>7</v>
      </c>
      <c r="B2" s="13" t="s">
        <v>7</v>
      </c>
      <c r="C2" s="13" t="s">
        <v>7</v>
      </c>
      <c r="D2" s="30" t="s">
        <v>8</v>
      </c>
      <c r="E2" s="30" t="s">
        <v>8</v>
      </c>
      <c r="F2" s="30" t="s">
        <v>8</v>
      </c>
      <c r="G2" s="13" t="s">
        <v>7</v>
      </c>
      <c r="H2" s="13" t="s">
        <v>7</v>
      </c>
      <c r="I2" s="13" t="s">
        <v>7</v>
      </c>
    </row>
    <row r="3" spans="1:9" ht="16.5" thickTop="1" thickBot="1" x14ac:dyDescent="0.3">
      <c r="A3" s="30" t="s">
        <v>8</v>
      </c>
      <c r="B3" s="13" t="s">
        <v>7</v>
      </c>
      <c r="C3" s="13" t="s">
        <v>7</v>
      </c>
      <c r="D3" s="30" t="s">
        <v>8</v>
      </c>
      <c r="E3" s="30" t="s">
        <v>8</v>
      </c>
      <c r="F3" s="30" t="s">
        <v>8</v>
      </c>
      <c r="G3" s="30" t="s">
        <v>8</v>
      </c>
      <c r="H3" s="13" t="s">
        <v>7</v>
      </c>
      <c r="I3" s="13" t="s">
        <v>7</v>
      </c>
    </row>
    <row r="4" spans="1:9" ht="16.5" thickTop="1" thickBot="1" x14ac:dyDescent="0.3">
      <c r="A4" s="13" t="s">
        <v>7</v>
      </c>
      <c r="B4" s="30" t="s">
        <v>8</v>
      </c>
      <c r="C4" s="13" t="s">
        <v>7</v>
      </c>
      <c r="D4" s="13" t="s">
        <v>7</v>
      </c>
      <c r="E4" s="30" t="s">
        <v>8</v>
      </c>
      <c r="F4" s="30" t="s">
        <v>8</v>
      </c>
      <c r="G4" s="30" t="s">
        <v>8</v>
      </c>
      <c r="H4" s="30" t="s">
        <v>8</v>
      </c>
      <c r="I4" s="13" t="s">
        <v>7</v>
      </c>
    </row>
    <row r="5" spans="1:9" ht="16.5" thickTop="1" thickBot="1" x14ac:dyDescent="0.3">
      <c r="A5" s="18" t="s">
        <v>7</v>
      </c>
      <c r="B5" s="13" t="s">
        <v>7</v>
      </c>
      <c r="C5" s="30" t="s">
        <v>8</v>
      </c>
      <c r="D5" s="13" t="s">
        <v>7</v>
      </c>
      <c r="E5" s="13" t="s">
        <v>7</v>
      </c>
      <c r="F5" s="30" t="s">
        <v>8</v>
      </c>
      <c r="G5" s="30" t="s">
        <v>8</v>
      </c>
      <c r="H5" s="30" t="s">
        <v>8</v>
      </c>
      <c r="I5" s="30" t="s">
        <v>8</v>
      </c>
    </row>
    <row r="6" spans="1:9" ht="16.5" thickTop="1" thickBot="1" x14ac:dyDescent="0.3">
      <c r="A6" s="19" t="s">
        <v>7</v>
      </c>
      <c r="B6" s="18" t="s">
        <v>7</v>
      </c>
      <c r="C6" s="30" t="s">
        <v>8</v>
      </c>
      <c r="D6" s="30" t="s">
        <v>8</v>
      </c>
      <c r="E6" s="25" t="s">
        <v>7</v>
      </c>
      <c r="F6" s="24" t="s">
        <v>7</v>
      </c>
      <c r="G6" s="30" t="s">
        <v>8</v>
      </c>
      <c r="H6" s="30" t="s">
        <v>8</v>
      </c>
      <c r="I6" s="30" t="s">
        <v>8</v>
      </c>
    </row>
    <row r="7" spans="1:9" ht="16.5" thickTop="1" thickBot="1" x14ac:dyDescent="0.3">
      <c r="A7" s="15" t="s">
        <v>7</v>
      </c>
      <c r="B7" s="20" t="s">
        <v>7</v>
      </c>
      <c r="C7" s="30" t="s">
        <v>8</v>
      </c>
      <c r="D7" s="30" t="s">
        <v>8</v>
      </c>
      <c r="E7" s="26" t="s">
        <v>7</v>
      </c>
      <c r="F7" s="15" t="s">
        <v>7</v>
      </c>
      <c r="G7" s="20" t="s">
        <v>7</v>
      </c>
      <c r="H7" s="30" t="s">
        <v>8</v>
      </c>
      <c r="I7" s="30" t="s">
        <v>8</v>
      </c>
    </row>
    <row r="8" spans="1:9" ht="15.75" thickTop="1" x14ac:dyDescent="0.25"/>
    <row r="11" spans="1:9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9C2EE-F698-4DAF-B178-88720BC78C34}">
  <sheetPr codeName="Sayfa4"/>
  <dimension ref="A1:I7"/>
  <sheetViews>
    <sheetView workbookViewId="0">
      <selection activeCell="L14" sqref="L14"/>
    </sheetView>
  </sheetViews>
  <sheetFormatPr defaultRowHeight="15" x14ac:dyDescent="0.25"/>
  <sheetData>
    <row r="1" spans="1:9" x14ac:dyDescent="0.25">
      <c r="A1">
        <v>0</v>
      </c>
      <c r="B1">
        <v>0</v>
      </c>
      <c r="C1">
        <v>0</v>
      </c>
      <c r="D1">
        <v>2</v>
      </c>
      <c r="E1">
        <v>0</v>
      </c>
      <c r="F1">
        <v>0</v>
      </c>
      <c r="G1">
        <v>0</v>
      </c>
      <c r="H1">
        <v>0</v>
      </c>
      <c r="I1">
        <v>0</v>
      </c>
    </row>
    <row r="2" spans="1:9" x14ac:dyDescent="0.25">
      <c r="A2">
        <v>0</v>
      </c>
      <c r="B2">
        <v>5</v>
      </c>
      <c r="C2">
        <v>0</v>
      </c>
      <c r="D2">
        <v>3</v>
      </c>
      <c r="E2">
        <v>5</v>
      </c>
      <c r="F2">
        <v>4</v>
      </c>
      <c r="G2">
        <v>2</v>
      </c>
      <c r="H2">
        <v>4</v>
      </c>
      <c r="I2">
        <v>0</v>
      </c>
    </row>
    <row r="3" spans="1:9" x14ac:dyDescent="0.25">
      <c r="A3">
        <v>4</v>
      </c>
      <c r="B3">
        <v>0</v>
      </c>
      <c r="C3">
        <v>0</v>
      </c>
      <c r="D3">
        <v>0</v>
      </c>
      <c r="E3">
        <v>2</v>
      </c>
      <c r="F3">
        <v>0</v>
      </c>
      <c r="G3">
        <v>5</v>
      </c>
      <c r="H3">
        <v>5</v>
      </c>
      <c r="I3">
        <v>0</v>
      </c>
    </row>
    <row r="4" spans="1:9" x14ac:dyDescent="0.25">
      <c r="A4">
        <v>0</v>
      </c>
      <c r="B4">
        <v>0</v>
      </c>
      <c r="C4">
        <v>2</v>
      </c>
      <c r="D4">
        <v>0</v>
      </c>
      <c r="E4">
        <v>0</v>
      </c>
      <c r="F4">
        <v>0</v>
      </c>
      <c r="G4">
        <v>5</v>
      </c>
      <c r="H4">
        <v>0</v>
      </c>
      <c r="I4">
        <v>0</v>
      </c>
    </row>
    <row r="5" spans="1:9" x14ac:dyDescent="0.25">
      <c r="A5">
        <v>0</v>
      </c>
      <c r="B5">
        <v>0</v>
      </c>
      <c r="C5">
        <v>3</v>
      </c>
      <c r="D5">
        <v>5</v>
      </c>
      <c r="E5">
        <v>0</v>
      </c>
      <c r="F5">
        <v>0</v>
      </c>
      <c r="G5">
        <v>0</v>
      </c>
      <c r="H5">
        <v>0</v>
      </c>
      <c r="I5">
        <v>3</v>
      </c>
    </row>
    <row r="6" spans="1:9" x14ac:dyDescent="0.25">
      <c r="A6">
        <v>0</v>
      </c>
      <c r="B6">
        <v>0</v>
      </c>
      <c r="C6">
        <v>0</v>
      </c>
      <c r="D6">
        <v>2</v>
      </c>
      <c r="E6">
        <v>0</v>
      </c>
      <c r="F6">
        <v>0</v>
      </c>
      <c r="G6">
        <v>0</v>
      </c>
      <c r="H6">
        <v>3</v>
      </c>
      <c r="I6">
        <v>0</v>
      </c>
    </row>
    <row r="7" spans="1:9" x14ac:dyDescent="0.25">
      <c r="A7">
        <v>4</v>
      </c>
      <c r="B7">
        <v>3</v>
      </c>
      <c r="C7">
        <v>5</v>
      </c>
      <c r="D7">
        <v>3</v>
      </c>
      <c r="E7">
        <v>0</v>
      </c>
      <c r="F7">
        <v>2</v>
      </c>
      <c r="G7">
        <v>0</v>
      </c>
      <c r="H7">
        <v>0</v>
      </c>
      <c r="I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12</vt:i4>
      </vt:variant>
    </vt:vector>
  </HeadingPairs>
  <TitlesOfParts>
    <vt:vector size="16" baseType="lpstr">
      <vt:lpstr>Sayfa1</vt:lpstr>
      <vt:lpstr>Sayfa2</vt:lpstr>
      <vt:lpstr>ore_body</vt:lpstr>
      <vt:lpstr>random_ore_body</vt:lpstr>
      <vt:lpstr>COG</vt:lpstr>
      <vt:lpstr>Do</vt:lpstr>
      <vt:lpstr>DR</vt:lpstr>
      <vt:lpstr>Dw</vt:lpstr>
      <vt:lpstr>MC</vt:lpstr>
      <vt:lpstr>MR</vt:lpstr>
      <vt:lpstr>PC</vt:lpstr>
      <vt:lpstr>SC</vt:lpstr>
      <vt:lpstr>SP</vt:lpstr>
      <vt:lpstr>Xsize</vt:lpstr>
      <vt:lpstr>Ysize</vt:lpstr>
      <vt:lpstr>Zsize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furkan kasa</dc:creator>
  <cp:lastModifiedBy>Furkan Kasa</cp:lastModifiedBy>
  <dcterms:created xsi:type="dcterms:W3CDTF">2021-03-26T10:15:26Z</dcterms:created>
  <dcterms:modified xsi:type="dcterms:W3CDTF">2023-07-12T15:53:04Z</dcterms:modified>
</cp:coreProperties>
</file>